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50de3acd2b07028/Documentos/portifolio/"/>
    </mc:Choice>
  </mc:AlternateContent>
  <xr:revisionPtr revIDLastSave="10" documentId="8_{7E8C0E21-9B56-46B4-8784-2BE4F24AE05D}" xr6:coauthVersionLast="47" xr6:coauthVersionMax="47" xr10:uidLastSave="{10797E29-B111-49F8-8B90-5209BA9F5B7C}"/>
  <bookViews>
    <workbookView xWindow="-108" yWindow="-108" windowWidth="23256" windowHeight="12456" tabRatio="781" activeTab="5" xr2:uid="{87BE7180-3E81-4FE5-B433-FFDBA552102C}"/>
  </bookViews>
  <sheets>
    <sheet name="Dashboard" sheetId="31" r:id="rId1"/>
    <sheet name="Produtos" sheetId="2" r:id="rId2"/>
    <sheet name="Fornecedor" sheetId="3" r:id="rId3"/>
    <sheet name="Entradas" sheetId="4" r:id="rId4"/>
    <sheet name="Saídas" sheetId="5" r:id="rId5"/>
    <sheet name="Base de Cálculos" sheetId="34" r:id="rId6"/>
    <sheet name="Visão Produtos" sheetId="36" r:id="rId7"/>
    <sheet name="Controle de Estoque" sheetId="7" state="hidden" r:id="rId8"/>
    <sheet name="Consulta" sheetId="6" state="hidden" r:id="rId9"/>
    <sheet name="Quadro de Resumo" sheetId="8" state="hidden" r:id="rId10"/>
  </sheets>
  <definedNames>
    <definedName name="CriteriosConsultaProduto">'Quadro de Resumo'!$AM$7:$AM$8</definedName>
    <definedName name="Lista_Produtos">TB_Produtos[[#All],[Produto]]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4" l="1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2" i="36"/>
  <c r="C153" i="36"/>
  <c r="C154" i="36"/>
  <c r="C155" i="36"/>
  <c r="C156" i="36"/>
  <c r="C157" i="36"/>
  <c r="C158" i="36"/>
  <c r="C159" i="36"/>
  <c r="C160" i="36"/>
  <c r="C161" i="36"/>
  <c r="C162" i="36"/>
  <c r="C163" i="36"/>
  <c r="C164" i="36"/>
  <c r="C165" i="36"/>
  <c r="C166" i="36"/>
  <c r="C167" i="36"/>
  <c r="C168" i="36"/>
  <c r="C169" i="36"/>
  <c r="C170" i="36"/>
  <c r="C171" i="36"/>
  <c r="C172" i="36"/>
  <c r="C173" i="36"/>
  <c r="C174" i="36"/>
  <c r="C175" i="36"/>
  <c r="C176" i="36"/>
  <c r="C177" i="36"/>
  <c r="C178" i="36"/>
  <c r="C179" i="36"/>
  <c r="C180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5" i="36"/>
  <c r="C196" i="36"/>
  <c r="C197" i="36"/>
  <c r="C198" i="36"/>
  <c r="C199" i="36"/>
  <c r="C200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9" i="36"/>
  <c r="B21" i="36"/>
  <c r="A1" i="36" a="1"/>
  <c r="A1" i="36" s="1"/>
  <c r="B1" i="36" s="1"/>
  <c r="C8" i="7"/>
  <c r="D8" i="7"/>
  <c r="F8" i="7"/>
  <c r="B12" i="4"/>
  <c r="G12" i="4" a="1"/>
  <c r="G12" i="4" s="1"/>
  <c r="H12" i="4" s="1"/>
  <c r="B59" i="5"/>
  <c r="F59" i="5" a="1"/>
  <c r="F59" i="5" s="1"/>
  <c r="G59" i="5" s="1"/>
  <c r="B17" i="4"/>
  <c r="G17" i="4" a="1"/>
  <c r="G17" i="4" s="1"/>
  <c r="H17" i="4" s="1"/>
  <c r="I8" i="7" s="1"/>
  <c r="B58" i="5"/>
  <c r="F58" i="5" a="1"/>
  <c r="F58" i="5" s="1"/>
  <c r="G58" i="5" s="1"/>
  <c r="B55" i="5"/>
  <c r="F55" i="5" a="1"/>
  <c r="F55" i="5" s="1"/>
  <c r="G55" i="5" s="1"/>
  <c r="B50" i="5"/>
  <c r="F50" i="5" a="1"/>
  <c r="F50" i="5" s="1"/>
  <c r="G50" i="5" s="1"/>
  <c r="B46" i="5"/>
  <c r="F46" i="5" a="1"/>
  <c r="F46" i="5" s="1"/>
  <c r="G46" i="5" s="1"/>
  <c r="B36" i="5"/>
  <c r="F36" i="5" a="1"/>
  <c r="F36" i="5" s="1"/>
  <c r="G36" i="5" s="1"/>
  <c r="B30" i="5"/>
  <c r="F30" i="5" a="1"/>
  <c r="F30" i="5" s="1"/>
  <c r="G30" i="5" s="1"/>
  <c r="B21" i="5"/>
  <c r="F21" i="5" a="1"/>
  <c r="F21" i="5" s="1"/>
  <c r="G21" i="5" s="1"/>
  <c r="B55" i="4"/>
  <c r="G55" i="4" a="1"/>
  <c r="G55" i="4" s="1"/>
  <c r="H55" i="4" s="1"/>
  <c r="B49" i="4"/>
  <c r="G49" i="4" a="1"/>
  <c r="G49" i="4" s="1"/>
  <c r="H49" i="4" s="1"/>
  <c r="B45" i="4"/>
  <c r="G45" i="4" a="1"/>
  <c r="G45" i="4" s="1"/>
  <c r="H45" i="4" s="1"/>
  <c r="B31" i="4"/>
  <c r="G31" i="4" a="1"/>
  <c r="G31" i="4" s="1"/>
  <c r="H31" i="4" s="1"/>
  <c r="B14" i="5"/>
  <c r="F14" i="5" a="1"/>
  <c r="F14" i="5" s="1"/>
  <c r="G14" i="5" s="1"/>
  <c r="B7" i="5"/>
  <c r="F7" i="5" a="1"/>
  <c r="F7" i="5" s="1"/>
  <c r="G7" i="5" s="1"/>
  <c r="B8" i="4"/>
  <c r="G8" i="4" a="1"/>
  <c r="G8" i="4" s="1"/>
  <c r="H8" i="4" s="1"/>
  <c r="B48" i="5"/>
  <c r="F48" i="5" a="1"/>
  <c r="F48" i="5" s="1"/>
  <c r="G48" i="5" s="1"/>
  <c r="B48" i="4"/>
  <c r="G48" i="4" a="1"/>
  <c r="G48" i="4" s="1"/>
  <c r="H48" i="4" s="1"/>
  <c r="B44" i="5"/>
  <c r="F44" i="5" a="1"/>
  <c r="F44" i="5" s="1"/>
  <c r="G44" i="5" s="1"/>
  <c r="B43" i="4"/>
  <c r="G43" i="4" a="1"/>
  <c r="G43" i="4" s="1"/>
  <c r="H43" i="4" s="1"/>
  <c r="B38" i="5"/>
  <c r="F38" i="5" a="1"/>
  <c r="F38" i="5" s="1"/>
  <c r="G38" i="5" s="1"/>
  <c r="B37" i="4"/>
  <c r="G37" i="4" a="1"/>
  <c r="G37" i="4" s="1"/>
  <c r="H37" i="4" s="1"/>
  <c r="B35" i="5"/>
  <c r="F35" i="5" a="1"/>
  <c r="F35" i="5" s="1"/>
  <c r="G35" i="5" s="1"/>
  <c r="B35" i="4"/>
  <c r="G35" i="4" a="1"/>
  <c r="G35" i="4" s="1"/>
  <c r="H35" i="4" s="1"/>
  <c r="B26" i="5"/>
  <c r="F26" i="5" a="1"/>
  <c r="F26" i="5" s="1"/>
  <c r="G26" i="5" s="1"/>
  <c r="B28" i="4"/>
  <c r="G28" i="4" a="1"/>
  <c r="G28" i="4" s="1"/>
  <c r="H28" i="4" s="1"/>
  <c r="B22" i="5"/>
  <c r="F22" i="5" a="1"/>
  <c r="F22" i="5" s="1"/>
  <c r="G22" i="5" s="1"/>
  <c r="B22" i="4"/>
  <c r="G22" i="4" a="1"/>
  <c r="G22" i="4" s="1"/>
  <c r="H22" i="4" s="1"/>
  <c r="B15" i="5"/>
  <c r="F15" i="5" a="1"/>
  <c r="F15" i="5" s="1"/>
  <c r="G15" i="5" s="1"/>
  <c r="B18" i="4"/>
  <c r="G18" i="4" a="1"/>
  <c r="G18" i="4" s="1"/>
  <c r="H18" i="4" s="1"/>
  <c r="B11" i="5"/>
  <c r="F11" i="5" a="1"/>
  <c r="F11" i="5" s="1"/>
  <c r="G11" i="5" s="1"/>
  <c r="B8" i="5"/>
  <c r="F8" i="5" a="1"/>
  <c r="F8" i="5" s="1"/>
  <c r="G8" i="5" s="1"/>
  <c r="B7" i="4"/>
  <c r="G7" i="4" a="1"/>
  <c r="G7" i="4" s="1"/>
  <c r="H7" i="4" s="1"/>
  <c r="B51" i="5"/>
  <c r="F51" i="5" a="1"/>
  <c r="F51" i="5" s="1"/>
  <c r="G51" i="5" s="1"/>
  <c r="B51" i="4"/>
  <c r="G51" i="4" a="1"/>
  <c r="G51" i="4" s="1"/>
  <c r="H51" i="4" s="1"/>
  <c r="B47" i="5"/>
  <c r="F47" i="5" a="1"/>
  <c r="F47" i="5" s="1"/>
  <c r="G47" i="5" s="1"/>
  <c r="B37" i="5"/>
  <c r="F37" i="5" a="1"/>
  <c r="F37" i="5" s="1"/>
  <c r="G37" i="5" s="1"/>
  <c r="B34" i="5"/>
  <c r="F34" i="5" a="1"/>
  <c r="F34" i="5" s="1"/>
  <c r="G34" i="5" s="1"/>
  <c r="B31" i="5"/>
  <c r="F31" i="5" a="1"/>
  <c r="F31" i="5" s="1"/>
  <c r="G31" i="5" s="1"/>
  <c r="B27" i="5"/>
  <c r="F27" i="5" a="1"/>
  <c r="F27" i="5" s="1"/>
  <c r="G27" i="5" s="1"/>
  <c r="B16" i="5"/>
  <c r="F16" i="5" a="1"/>
  <c r="F16" i="5" s="1"/>
  <c r="G16" i="5" s="1"/>
  <c r="B12" i="5"/>
  <c r="F12" i="5" a="1"/>
  <c r="F12" i="5" s="1"/>
  <c r="G12" i="5" s="1"/>
  <c r="B56" i="4"/>
  <c r="G56" i="4" a="1"/>
  <c r="G56" i="4" s="1"/>
  <c r="H56" i="4" s="1"/>
  <c r="B46" i="4"/>
  <c r="G46" i="4" a="1"/>
  <c r="G46" i="4" s="1"/>
  <c r="H46" i="4" s="1"/>
  <c r="B40" i="4"/>
  <c r="G40" i="4" a="1"/>
  <c r="G40" i="4" s="1"/>
  <c r="H40" i="4" s="1"/>
  <c r="B36" i="4"/>
  <c r="G36" i="4" a="1"/>
  <c r="G36" i="4" s="1"/>
  <c r="H36" i="4" s="1"/>
  <c r="B32" i="4"/>
  <c r="G32" i="4" a="1"/>
  <c r="G32" i="4" s="1"/>
  <c r="H32" i="4" s="1"/>
  <c r="B23" i="4"/>
  <c r="G23" i="4" a="1"/>
  <c r="G23" i="4" s="1"/>
  <c r="H23" i="4" s="1"/>
  <c r="B19" i="4"/>
  <c r="G19" i="4" a="1"/>
  <c r="G19" i="4" s="1"/>
  <c r="H19" i="4" s="1"/>
  <c r="B13" i="4"/>
  <c r="G13" i="4" a="1"/>
  <c r="G13" i="4" s="1"/>
  <c r="H13" i="4" s="1"/>
  <c r="B25" i="4"/>
  <c r="G25" i="4" a="1"/>
  <c r="G25" i="4" s="1"/>
  <c r="H25" i="4" s="1"/>
  <c r="C12" i="7"/>
  <c r="D11" i="7"/>
  <c r="C11" i="7"/>
  <c r="D10" i="7"/>
  <c r="C10" i="7"/>
  <c r="C7" i="7"/>
  <c r="D6" i="7"/>
  <c r="C6" i="7"/>
  <c r="B53" i="4"/>
  <c r="G53" i="4" a="1"/>
  <c r="G53" i="4" s="1"/>
  <c r="H53" i="4" s="1"/>
  <c r="C15" i="36" l="1"/>
  <c r="B20" i="36"/>
  <c r="B8" i="36"/>
  <c r="C13" i="36"/>
  <c r="B7" i="36"/>
  <c r="C12" i="36"/>
  <c r="B19" i="36"/>
  <c r="B18" i="36"/>
  <c r="B6" i="36"/>
  <c r="C10" i="36"/>
  <c r="B17" i="36"/>
  <c r="B5" i="36"/>
  <c r="C9" i="36"/>
  <c r="C8" i="36"/>
  <c r="B27" i="36"/>
  <c r="B15" i="36"/>
  <c r="B3" i="36"/>
  <c r="C27" i="36"/>
  <c r="C7" i="36"/>
  <c r="C25" i="36"/>
  <c r="C6" i="36"/>
  <c r="C5" i="36"/>
  <c r="B16" i="36"/>
  <c r="B4" i="36"/>
  <c r="D4" i="34" s="1"/>
  <c r="B4" i="34" s="1"/>
  <c r="C4" i="34" s="1"/>
  <c r="B26" i="36"/>
  <c r="B14" i="36"/>
  <c r="B2" i="36"/>
  <c r="B25" i="36"/>
  <c r="B13" i="36"/>
  <c r="C24" i="36"/>
  <c r="B24" i="36"/>
  <c r="B12" i="36"/>
  <c r="C23" i="36"/>
  <c r="C4" i="36"/>
  <c r="C2" i="36"/>
  <c r="B23" i="36"/>
  <c r="B11" i="36"/>
  <c r="C22" i="36"/>
  <c r="B22" i="36"/>
  <c r="B10" i="36"/>
  <c r="C20" i="36"/>
  <c r="E8" i="7"/>
  <c r="G8" i="7" s="1" a="1"/>
  <c r="G8" i="7" s="1"/>
  <c r="E6" i="7"/>
  <c r="E10" i="7"/>
  <c r="E11" i="7"/>
  <c r="B29" i="5"/>
  <c r="F29" i="5" a="1"/>
  <c r="F29" i="5" s="1"/>
  <c r="G29" i="5" s="1"/>
  <c r="B61" i="5"/>
  <c r="F61" i="5" a="1"/>
  <c r="F61" i="5" s="1"/>
  <c r="G61" i="5" s="1"/>
  <c r="B41" i="5"/>
  <c r="F41" i="5" a="1"/>
  <c r="F41" i="5" s="1"/>
  <c r="G41" i="5" s="1"/>
  <c r="B58" i="4"/>
  <c r="G58" i="4" a="1"/>
  <c r="G58" i="4" s="1"/>
  <c r="H58" i="4" s="1"/>
  <c r="B57" i="4"/>
  <c r="G57" i="4" a="1"/>
  <c r="G57" i="4" s="1"/>
  <c r="H57" i="4" s="1"/>
  <c r="D7" i="34" l="1"/>
  <c r="B7" i="34" s="1"/>
  <c r="C7" i="34" s="1"/>
  <c r="D6" i="34"/>
  <c r="B6" i="34" s="1"/>
  <c r="C6" i="34" s="1"/>
  <c r="D3" i="34"/>
  <c r="B3" i="34" s="1"/>
  <c r="C3" i="34" s="1"/>
  <c r="D5" i="34"/>
  <c r="B5" i="34" s="1"/>
  <c r="C5" i="34" s="1"/>
  <c r="B6" i="4"/>
  <c r="B9" i="4"/>
  <c r="B10" i="4"/>
  <c r="B11" i="4"/>
  <c r="B14" i="4"/>
  <c r="B15" i="4"/>
  <c r="B16" i="4"/>
  <c r="B20" i="4"/>
  <c r="B21" i="4"/>
  <c r="B24" i="4"/>
  <c r="B26" i="4"/>
  <c r="B27" i="4"/>
  <c r="B29" i="4"/>
  <c r="B30" i="4"/>
  <c r="B33" i="4"/>
  <c r="B34" i="4"/>
  <c r="B38" i="4"/>
  <c r="B39" i="4"/>
  <c r="B41" i="4"/>
  <c r="B42" i="4"/>
  <c r="B44" i="4"/>
  <c r="B47" i="4"/>
  <c r="B50" i="4"/>
  <c r="B52" i="4"/>
  <c r="B54" i="4"/>
  <c r="B5" i="4"/>
  <c r="I14" i="34" l="1"/>
  <c r="M14" i="34"/>
  <c r="M10" i="34"/>
  <c r="M6" i="34"/>
  <c r="M12" i="34"/>
  <c r="M9" i="34"/>
  <c r="M5" i="34"/>
  <c r="M4" i="34"/>
  <c r="M8" i="34"/>
  <c r="M11" i="34"/>
  <c r="M3" i="34"/>
  <c r="M13" i="34"/>
  <c r="M7" i="34"/>
  <c r="B6" i="5"/>
  <c r="B9" i="5"/>
  <c r="B10" i="5"/>
  <c r="B13" i="5"/>
  <c r="B17" i="5"/>
  <c r="B18" i="5"/>
  <c r="B19" i="5"/>
  <c r="B20" i="5"/>
  <c r="B23" i="5"/>
  <c r="B24" i="5"/>
  <c r="B25" i="5"/>
  <c r="B28" i="5"/>
  <c r="B32" i="5"/>
  <c r="B33" i="5"/>
  <c r="B39" i="5"/>
  <c r="B40" i="5"/>
  <c r="B42" i="5"/>
  <c r="B43" i="5"/>
  <c r="B45" i="5"/>
  <c r="B49" i="5"/>
  <c r="B52" i="5"/>
  <c r="B53" i="5"/>
  <c r="B54" i="5"/>
  <c r="B56" i="5"/>
  <c r="B57" i="5"/>
  <c r="B60" i="5"/>
  <c r="B5" i="5"/>
  <c r="N14" i="34" l="1"/>
  <c r="N7" i="34"/>
  <c r="N12" i="34"/>
  <c r="N4" i="34"/>
  <c r="N5" i="34"/>
  <c r="N13" i="34"/>
  <c r="N6" i="34"/>
  <c r="N8" i="34"/>
  <c r="N3" i="34"/>
  <c r="N11" i="34"/>
  <c r="N10" i="34"/>
  <c r="N9" i="34"/>
  <c r="Q2" i="34"/>
  <c r="M15" i="34"/>
  <c r="N8" i="8"/>
  <c r="F5" i="5" a="1"/>
  <c r="F5" i="5" s="1"/>
  <c r="N15" i="34" l="1"/>
  <c r="Q3" i="34"/>
  <c r="F10" i="5" a="1"/>
  <c r="F10" i="5" s="1"/>
  <c r="F6" i="5" a="1"/>
  <c r="F6" i="5" s="1"/>
  <c r="F9" i="5" a="1"/>
  <c r="F9" i="5" s="1"/>
  <c r="F13" i="5" a="1"/>
  <c r="F13" i="5" s="1"/>
  <c r="F17" i="5" a="1"/>
  <c r="F17" i="5" s="1"/>
  <c r="F18" i="5" a="1"/>
  <c r="F18" i="5" s="1"/>
  <c r="F19" i="5" a="1"/>
  <c r="F19" i="5" s="1"/>
  <c r="F20" i="5" a="1"/>
  <c r="F20" i="5" s="1"/>
  <c r="F23" i="5" a="1"/>
  <c r="F23" i="5" s="1"/>
  <c r="F24" i="5" a="1"/>
  <c r="F24" i="5" s="1"/>
  <c r="F25" i="5" a="1"/>
  <c r="F25" i="5" s="1"/>
  <c r="F28" i="5" a="1"/>
  <c r="F28" i="5" s="1"/>
  <c r="F32" i="5" a="1"/>
  <c r="F32" i="5" s="1"/>
  <c r="F33" i="5" a="1"/>
  <c r="F33" i="5" s="1"/>
  <c r="F39" i="5" a="1"/>
  <c r="F39" i="5" s="1"/>
  <c r="F40" i="5" a="1"/>
  <c r="F40" i="5" s="1"/>
  <c r="F42" i="5" a="1"/>
  <c r="F42" i="5" s="1"/>
  <c r="F43" i="5" a="1"/>
  <c r="F43" i="5" s="1"/>
  <c r="F45" i="5" a="1"/>
  <c r="F45" i="5" s="1"/>
  <c r="F49" i="5" a="1"/>
  <c r="F49" i="5" s="1"/>
  <c r="F52" i="5" a="1"/>
  <c r="F52" i="5" s="1"/>
  <c r="F53" i="5" a="1"/>
  <c r="F53" i="5" s="1"/>
  <c r="F54" i="5" a="1"/>
  <c r="F54" i="5" s="1"/>
  <c r="F56" i="5" a="1"/>
  <c r="F56" i="5" s="1"/>
  <c r="F57" i="5" a="1"/>
  <c r="F57" i="5" s="1"/>
  <c r="F60" i="5" a="1"/>
  <c r="F60" i="5" s="1"/>
  <c r="F6" i="7"/>
  <c r="F7" i="7"/>
  <c r="F9" i="7"/>
  <c r="F10" i="7"/>
  <c r="F11" i="7"/>
  <c r="F12" i="7"/>
  <c r="F13" i="7"/>
  <c r="F14" i="7"/>
  <c r="F15" i="7"/>
  <c r="D7" i="7"/>
  <c r="D9" i="7"/>
  <c r="D12" i="7"/>
  <c r="D13" i="7"/>
  <c r="D14" i="7"/>
  <c r="D15" i="7"/>
  <c r="C9" i="7"/>
  <c r="C13" i="7"/>
  <c r="C14" i="7"/>
  <c r="C15" i="7"/>
  <c r="E9" i="7" l="1"/>
  <c r="G9" i="7" s="1" a="1"/>
  <c r="G9" i="7" s="1"/>
  <c r="E12" i="7"/>
  <c r="G12" i="7" s="1" a="1"/>
  <c r="G12" i="7" s="1"/>
  <c r="G11" i="7" a="1"/>
  <c r="G11" i="7" s="1"/>
  <c r="G10" i="7" a="1"/>
  <c r="G10" i="7" s="1"/>
  <c r="E15" i="7"/>
  <c r="G15" i="7" s="1" a="1"/>
  <c r="G15" i="7" s="1"/>
  <c r="E7" i="7"/>
  <c r="G7" i="7" s="1" a="1"/>
  <c r="G7" i="7" s="1"/>
  <c r="E14" i="7"/>
  <c r="G14" i="7" s="1" a="1"/>
  <c r="G14" i="7" s="1"/>
  <c r="E13" i="7"/>
  <c r="G13" i="7" s="1" a="1"/>
  <c r="G13" i="7" s="1"/>
  <c r="G6" i="7" a="1"/>
  <c r="G6" i="7" s="1"/>
  <c r="F6" i="6"/>
  <c r="F8" i="6"/>
  <c r="F10" i="6" s="1"/>
  <c r="AM11" i="8" l="1"/>
  <c r="N11" i="8"/>
  <c r="G5" i="5"/>
  <c r="G6" i="5"/>
  <c r="G9" i="5"/>
  <c r="G10" i="5"/>
  <c r="G13" i="5"/>
  <c r="G17" i="5"/>
  <c r="G18" i="5"/>
  <c r="G19" i="5"/>
  <c r="G20" i="5"/>
  <c r="C21" i="36" s="1"/>
  <c r="G23" i="5"/>
  <c r="G24" i="5"/>
  <c r="G25" i="5"/>
  <c r="G28" i="5"/>
  <c r="G32" i="5"/>
  <c r="G33" i="5"/>
  <c r="G39" i="5"/>
  <c r="G40" i="5"/>
  <c r="G42" i="5"/>
  <c r="G43" i="5"/>
  <c r="G45" i="5"/>
  <c r="G49" i="5"/>
  <c r="G52" i="5"/>
  <c r="G53" i="5"/>
  <c r="G54" i="5"/>
  <c r="G56" i="5"/>
  <c r="G57" i="5"/>
  <c r="G60" i="5"/>
  <c r="H14" i="34" s="1"/>
  <c r="G5" i="4" a="1"/>
  <c r="G5" i="4" s="1"/>
  <c r="H5" i="4" s="1"/>
  <c r="G6" i="4" a="1"/>
  <c r="G6" i="4" s="1"/>
  <c r="H6" i="4" s="1"/>
  <c r="G9" i="4" a="1"/>
  <c r="G9" i="4" s="1"/>
  <c r="H9" i="4" s="1"/>
  <c r="G10" i="4" a="1"/>
  <c r="G10" i="4" s="1"/>
  <c r="H10" i="4" s="1"/>
  <c r="G11" i="4" a="1"/>
  <c r="G11" i="4" s="1"/>
  <c r="H11" i="4" s="1"/>
  <c r="G14" i="4" a="1"/>
  <c r="G14" i="4" s="1"/>
  <c r="H14" i="4" s="1"/>
  <c r="G15" i="4" a="1"/>
  <c r="G15" i="4" s="1"/>
  <c r="H15" i="4" s="1"/>
  <c r="G16" i="4" a="1"/>
  <c r="G16" i="4" s="1"/>
  <c r="H16" i="4" s="1"/>
  <c r="G20" i="4" a="1"/>
  <c r="G20" i="4" s="1"/>
  <c r="H20" i="4" s="1"/>
  <c r="G21" i="4" a="1"/>
  <c r="G21" i="4" s="1"/>
  <c r="H21" i="4" s="1"/>
  <c r="G24" i="4" a="1"/>
  <c r="G24" i="4" s="1"/>
  <c r="H24" i="4" s="1"/>
  <c r="G26" i="4" a="1"/>
  <c r="G26" i="4" s="1"/>
  <c r="H26" i="4" s="1"/>
  <c r="G27" i="4" a="1"/>
  <c r="G27" i="4" s="1"/>
  <c r="H27" i="4" s="1"/>
  <c r="G29" i="4" a="1"/>
  <c r="G29" i="4" s="1"/>
  <c r="H29" i="4" s="1"/>
  <c r="G30" i="4" a="1"/>
  <c r="G30" i="4" s="1"/>
  <c r="H30" i="4" s="1"/>
  <c r="G33" i="4" a="1"/>
  <c r="G33" i="4" s="1"/>
  <c r="H33" i="4" s="1"/>
  <c r="G34" i="4" a="1"/>
  <c r="G34" i="4" s="1"/>
  <c r="H34" i="4" s="1"/>
  <c r="G38" i="4" a="1"/>
  <c r="G38" i="4" s="1"/>
  <c r="H38" i="4" s="1"/>
  <c r="G39" i="4" a="1"/>
  <c r="G39" i="4" s="1"/>
  <c r="H39" i="4" s="1"/>
  <c r="G41" i="4" a="1"/>
  <c r="G41" i="4" s="1"/>
  <c r="H41" i="4" s="1"/>
  <c r="G42" i="4" a="1"/>
  <c r="G42" i="4" s="1"/>
  <c r="H42" i="4" s="1"/>
  <c r="G44" i="4" a="1"/>
  <c r="G44" i="4" s="1"/>
  <c r="H44" i="4" s="1"/>
  <c r="I13" i="7" s="1"/>
  <c r="G47" i="4" a="1"/>
  <c r="G47" i="4" s="1"/>
  <c r="H47" i="4" s="1"/>
  <c r="G50" i="4" a="1"/>
  <c r="G50" i="4" s="1"/>
  <c r="H50" i="4" s="1"/>
  <c r="I12" i="34" s="1"/>
  <c r="G52" i="4" a="1"/>
  <c r="G52" i="4" s="1"/>
  <c r="H52" i="4" s="1"/>
  <c r="G54" i="4" a="1"/>
  <c r="G54" i="4" s="1"/>
  <c r="H54" i="4" s="1"/>
  <c r="I13" i="34" l="1"/>
  <c r="C18" i="36"/>
  <c r="H13" i="34"/>
  <c r="C14" i="36"/>
  <c r="H10" i="34"/>
  <c r="H6" i="34"/>
  <c r="C17" i="36"/>
  <c r="H8" i="7"/>
  <c r="J8" i="7" s="1"/>
  <c r="H9" i="34"/>
  <c r="AF4" i="31"/>
  <c r="C3" i="36"/>
  <c r="H3" i="34"/>
  <c r="H12" i="34"/>
  <c r="C11" i="36"/>
  <c r="H8" i="34"/>
  <c r="C26" i="36"/>
  <c r="H5" i="34"/>
  <c r="H13" i="7"/>
  <c r="J13" i="7" s="1"/>
  <c r="C19" i="36"/>
  <c r="C16" i="36"/>
  <c r="H4" i="34"/>
  <c r="H11" i="34"/>
  <c r="H7" i="34"/>
  <c r="C1" i="36"/>
  <c r="I6" i="34"/>
  <c r="I8" i="34"/>
  <c r="I5" i="34"/>
  <c r="I7" i="34"/>
  <c r="I4" i="34"/>
  <c r="I10" i="34"/>
  <c r="AX4" i="31"/>
  <c r="I3" i="34"/>
  <c r="I9" i="34"/>
  <c r="I11" i="34"/>
  <c r="H11" i="7"/>
  <c r="I11" i="7"/>
  <c r="I10" i="7"/>
  <c r="I12" i="7"/>
  <c r="I15" i="7"/>
  <c r="I14" i="7"/>
  <c r="H10" i="7"/>
  <c r="H14" i="7"/>
  <c r="F12" i="6"/>
  <c r="I9" i="7"/>
  <c r="AM17" i="8"/>
  <c r="N17" i="8"/>
  <c r="I7" i="7"/>
  <c r="I6" i="7"/>
  <c r="H6" i="7"/>
  <c r="H15" i="7"/>
  <c r="H7" i="7"/>
  <c r="AM14" i="8"/>
  <c r="H9" i="7"/>
  <c r="N14" i="8"/>
  <c r="H12" i="7"/>
  <c r="F14" i="6"/>
  <c r="BP4" i="31" l="1"/>
  <c r="C14" i="34"/>
  <c r="C15" i="34"/>
  <c r="C11" i="34"/>
  <c r="C12" i="34"/>
  <c r="C13" i="34"/>
  <c r="J11" i="7"/>
  <c r="J10" i="7"/>
  <c r="J12" i="7"/>
  <c r="J9" i="7"/>
  <c r="J15" i="7"/>
  <c r="J14" i="7"/>
  <c r="AM20" i="8"/>
  <c r="AM23" i="8" s="1"/>
  <c r="J7" i="7"/>
  <c r="N20" i="8"/>
  <c r="N23" i="8" s="1"/>
  <c r="J6" i="7"/>
  <c r="Q40" i="31" l="1"/>
  <c r="B14" i="34"/>
  <c r="G40" i="31" s="1"/>
  <c r="Q43" i="31"/>
  <c r="B15" i="34"/>
  <c r="G43" i="31" s="1"/>
  <c r="Q37" i="31"/>
  <c r="B13" i="34"/>
  <c r="G37" i="31" s="1"/>
  <c r="B12" i="34"/>
  <c r="G34" i="31" s="1"/>
  <c r="Q34" i="31"/>
  <c r="Q31" i="31"/>
  <c r="B11" i="34"/>
  <c r="G31" i="31" s="1"/>
  <c r="N9" i="7"/>
  <c r="P9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<sst xmlns="http://schemas.openxmlformats.org/spreadsheetml/2006/main" count="371" uniqueCount="128">
  <si>
    <t>Cadastro de Produtos</t>
  </si>
  <si>
    <t>Produto</t>
  </si>
  <si>
    <t>Unidade de Medida</t>
  </si>
  <si>
    <t>Estoque Mínimo</t>
  </si>
  <si>
    <t>Custo Unitário</t>
  </si>
  <si>
    <t>Preço Unitário</t>
  </si>
  <si>
    <t>Café</t>
  </si>
  <si>
    <t xml:space="preserve">Unidade </t>
  </si>
  <si>
    <t>Pão</t>
  </si>
  <si>
    <t>Kg</t>
  </si>
  <si>
    <t>Coxinha</t>
  </si>
  <si>
    <t>Esfiha</t>
  </si>
  <si>
    <t>Risoles</t>
  </si>
  <si>
    <t>Empada</t>
  </si>
  <si>
    <t>Quibe</t>
  </si>
  <si>
    <t>Chá</t>
  </si>
  <si>
    <t>Unidade</t>
  </si>
  <si>
    <t>Manteiga</t>
  </si>
  <si>
    <t>Requeijão</t>
  </si>
  <si>
    <t>Chocolate Quente</t>
  </si>
  <si>
    <t>Caixa</t>
  </si>
  <si>
    <t xml:space="preserve">Leite </t>
  </si>
  <si>
    <t>Açúcar</t>
  </si>
  <si>
    <t>Mini Pizza</t>
  </si>
  <si>
    <t>Chantilly</t>
  </si>
  <si>
    <t>Pão de Queijo</t>
  </si>
  <si>
    <t>Suco de Laranja</t>
  </si>
  <si>
    <t>Hamburguer</t>
  </si>
  <si>
    <t>Frango</t>
  </si>
  <si>
    <t xml:space="preserve">Água </t>
  </si>
  <si>
    <t>Embalagem</t>
  </si>
  <si>
    <t>Cerveja</t>
  </si>
  <si>
    <t>Queijo</t>
  </si>
  <si>
    <t>Presunto</t>
  </si>
  <si>
    <t>Mortadela</t>
  </si>
  <si>
    <t>Peito de Peru</t>
  </si>
  <si>
    <t>Refrigerante</t>
  </si>
  <si>
    <t>Enroladinho</t>
  </si>
  <si>
    <t>Cadastro de Fornecedor</t>
  </si>
  <si>
    <t>Empresa</t>
  </si>
  <si>
    <t>Telefone</t>
  </si>
  <si>
    <t>Responsável</t>
  </si>
  <si>
    <t>E-mail</t>
  </si>
  <si>
    <t>Mercado Express</t>
  </si>
  <si>
    <t>(11) 1122-4422</t>
  </si>
  <si>
    <t>Maria</t>
  </si>
  <si>
    <t>maria@mercadoexpress.com.br</t>
  </si>
  <si>
    <t>Frigorífico Z</t>
  </si>
  <si>
    <t>(11) 1001-2022</t>
  </si>
  <si>
    <t>Carlos</t>
  </si>
  <si>
    <t>carlos@frigoríficoz.com.br</t>
  </si>
  <si>
    <t>Distribuídora KS</t>
  </si>
  <si>
    <t>(11) 1300-4033</t>
  </si>
  <si>
    <t>Eduardo</t>
  </si>
  <si>
    <t>eduardo@distribuídoraks.com.br</t>
  </si>
  <si>
    <t xml:space="preserve"> </t>
  </si>
  <si>
    <t>Salgados Gran</t>
  </si>
  <si>
    <t>(11) 1400-3022</t>
  </si>
  <si>
    <t>Claudia</t>
  </si>
  <si>
    <t>claudia@salgadosgran.com.br</t>
  </si>
  <si>
    <t>Controle de Entradas</t>
  </si>
  <si>
    <t>Data</t>
  </si>
  <si>
    <t>Fornecedor</t>
  </si>
  <si>
    <t>Quantidade Comprada</t>
  </si>
  <si>
    <t>Valor da Compra</t>
  </si>
  <si>
    <t>Controle de Saídas</t>
  </si>
  <si>
    <t>Quantidade Vendida</t>
  </si>
  <si>
    <t>Valor de Venda</t>
  </si>
  <si>
    <t xml:space="preserve">Consulta </t>
  </si>
  <si>
    <t>&lt;10/05/2022</t>
  </si>
  <si>
    <t/>
  </si>
  <si>
    <t xml:space="preserve">Quantidade em Estoque </t>
  </si>
  <si>
    <t>Controle de Estoque</t>
  </si>
  <si>
    <t>Entradas</t>
  </si>
  <si>
    <t xml:space="preserve">Saídas </t>
  </si>
  <si>
    <t>Saldo em Estoque</t>
  </si>
  <si>
    <t>Status do Estoque</t>
  </si>
  <si>
    <t>Custo Total</t>
  </si>
  <si>
    <t>Lucro</t>
  </si>
  <si>
    <t>Produto Mais Rentável</t>
  </si>
  <si>
    <t>Quadro de Resumo</t>
  </si>
  <si>
    <t>Dados 2022</t>
  </si>
  <si>
    <t>Consulta por Produto</t>
  </si>
  <si>
    <t xml:space="preserve">Produtos Vendidos: </t>
  </si>
  <si>
    <t xml:space="preserve">Dados: </t>
  </si>
  <si>
    <t xml:space="preserve">Qtd em Estoque: </t>
  </si>
  <si>
    <t xml:space="preserve">Faturamento: </t>
  </si>
  <si>
    <t xml:space="preserve">Despesas: </t>
  </si>
  <si>
    <t xml:space="preserve">Lucro: </t>
  </si>
  <si>
    <t xml:space="preserve">% Lucro: </t>
  </si>
  <si>
    <r>
      <rPr>
        <b/>
        <sz val="24"/>
        <color rgb="FF1A261A"/>
        <rFont val="Barlow"/>
      </rPr>
      <t>DASHBOARD</t>
    </r>
    <r>
      <rPr>
        <sz val="24"/>
        <color rgb="FF1A261A"/>
        <rFont val="Barlow"/>
      </rPr>
      <t xml:space="preserve"> </t>
    </r>
    <r>
      <rPr>
        <b/>
        <sz val="24"/>
        <color rgb="FF1A261A"/>
        <rFont val="Barlow"/>
      </rPr>
      <t xml:space="preserve">  </t>
    </r>
  </si>
  <si>
    <t>FATURAMENTO</t>
  </si>
  <si>
    <t>DESPESAS</t>
  </si>
  <si>
    <t>LUCRO</t>
  </si>
  <si>
    <t>TOP 5 PRODUTOS MAIS VENDIDOS</t>
  </si>
  <si>
    <t>FATURAMENTO X DESPESA</t>
  </si>
  <si>
    <t>ENTRADA X SAÍDA MENSAL</t>
  </si>
  <si>
    <t>ENTRADA X SAÍDA ANUAL</t>
  </si>
  <si>
    <t>RANKING FATURAMENTO</t>
  </si>
  <si>
    <t>1º</t>
  </si>
  <si>
    <t>2º</t>
  </si>
  <si>
    <t>3º</t>
  </si>
  <si>
    <t>4º</t>
  </si>
  <si>
    <t>5º</t>
  </si>
  <si>
    <t>Top 5 Mais Vendidos</t>
  </si>
  <si>
    <t>Saídas</t>
  </si>
  <si>
    <t>Top 5 Maiores Faturamentos</t>
  </si>
  <si>
    <t>Faturamento</t>
  </si>
  <si>
    <t>Mês</t>
  </si>
  <si>
    <t>Faturamento Vs Despesas</t>
  </si>
  <si>
    <t>N. Mês</t>
  </si>
  <si>
    <t>Despesas</t>
  </si>
  <si>
    <t>Produto:</t>
  </si>
  <si>
    <t>Entradas e Saídas (Qtd)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</si>
  <si>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</si>
  <si>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</si>
  <si>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</si>
  <si>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</si>
  <si>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</si>
  <si>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</si>
  <si>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</si>
  <si>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</si>
  <si>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</si>
  <si>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</si>
  <si>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</si>
  <si>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</si>
  <si>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</si>
  <si>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Entradas vs Saídas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</si>
</sst>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  <numFmt numFmtId="166" formatCode="mmm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4"/>
      <color theme="0"/>
      <name val="Arial Rounded MT Bold"/>
      <family val="2"/>
    </font>
    <font>
      <b/>
      <sz val="28"/>
      <color rgb="FF093364"/>
      <name val="Calibri"/>
      <family val="2"/>
      <scheme val="minor"/>
    </font>
    <font>
      <b/>
      <sz val="11"/>
      <color theme="0"/>
      <name val="Arial Rounded MT Bold"/>
      <family val="2"/>
    </font>
    <font>
      <b/>
      <sz val="12.5"/>
      <color theme="0"/>
      <name val="Arial Rounded MT Bold"/>
      <family val="2"/>
    </font>
    <font>
      <b/>
      <sz val="28"/>
      <name val="Calibri"/>
      <family val="2"/>
      <scheme val="minor"/>
    </font>
    <font>
      <b/>
      <sz val="22"/>
      <color theme="7" tint="-0.49998474074526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26"/>
      <color rgb="FF030303"/>
      <name val="Calibri"/>
      <family val="2"/>
      <scheme val="minor"/>
    </font>
    <font>
      <b/>
      <sz val="28"/>
      <color rgb="FF030303"/>
      <name val="Calibri"/>
      <family val="2"/>
      <scheme val="minor"/>
    </font>
    <font>
      <sz val="11"/>
      <color rgb="FF030303"/>
      <name val="Calibri"/>
      <family val="2"/>
      <scheme val="minor"/>
    </font>
    <font>
      <sz val="35"/>
      <color rgb="FF764600"/>
      <name val="JasmineUPC"/>
      <family val="1"/>
    </font>
    <font>
      <b/>
      <sz val="25"/>
      <color rgb="FF030303"/>
      <name val="Calibri"/>
      <family val="2"/>
      <scheme val="minor"/>
    </font>
    <font>
      <b/>
      <sz val="16"/>
      <color rgb="FFFFFFFF"/>
      <name val="Calibri"/>
      <family val="2"/>
    </font>
    <font>
      <sz val="11"/>
      <color rgb="FF000000"/>
      <name val="Calibri"/>
      <family val="2"/>
      <scheme val="minor"/>
    </font>
    <font>
      <b/>
      <sz val="26"/>
      <color rgb="FF1A261A"/>
      <name val="Barlow"/>
    </font>
    <font>
      <b/>
      <sz val="16"/>
      <color theme="0"/>
      <name val="Barlow"/>
    </font>
    <font>
      <b/>
      <sz val="13"/>
      <color rgb="FF1A261A"/>
      <name val="Barlow"/>
    </font>
    <font>
      <b/>
      <sz val="13.5"/>
      <color rgb="FF1A261A"/>
      <name val="Barlow"/>
    </font>
    <font>
      <sz val="24"/>
      <color rgb="FF1A261A"/>
      <name val="Barlow"/>
    </font>
    <font>
      <b/>
      <sz val="24"/>
      <color rgb="FF1A261A"/>
      <name val="Barlow"/>
    </font>
    <font>
      <sz val="11"/>
      <name val="Barlow"/>
    </font>
    <font>
      <b/>
      <sz val="11"/>
      <name val="Barlow"/>
    </font>
    <font>
      <b/>
      <sz val="24"/>
      <color theme="0"/>
      <name val="Barlow ExtraBold"/>
    </font>
    <font>
      <sz val="11"/>
      <color theme="1"/>
      <name val="Barlow"/>
    </font>
    <font>
      <b/>
      <sz val="11"/>
      <color theme="0"/>
      <name val="Barlow"/>
    </font>
    <font>
      <sz val="11"/>
      <color rgb="FF4472C4"/>
      <name val="Barlow"/>
    </font>
    <font>
      <b/>
      <sz val="11"/>
      <color theme="1"/>
      <name val="Barlow"/>
    </font>
    <font>
      <b/>
      <sz val="12"/>
      <name val="Barlow"/>
    </font>
    <font>
      <b/>
      <sz val="12"/>
      <color theme="1"/>
      <name val="Barlow"/>
    </font>
    <font>
      <b/>
      <sz val="18"/>
      <color theme="0"/>
      <name val="Calibri"/>
      <family val="2"/>
      <scheme val="minor"/>
    </font>
    <font>
      <sz val="11"/>
      <color rgb="FFEBC28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Barlow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13829"/>
        <bgColor indexed="64"/>
      </patternFill>
    </fill>
    <fill>
      <patternFill patternType="solid">
        <fgColor rgb="FFB39563"/>
        <bgColor indexed="64"/>
      </patternFill>
    </fill>
    <fill>
      <patternFill patternType="solid">
        <fgColor rgb="FF9B8357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EBC282"/>
        <bgColor indexed="64"/>
      </patternFill>
    </fill>
    <fill>
      <patternFill patternType="solid">
        <fgColor rgb="FFEBC282"/>
        <bgColor theme="4"/>
      </patternFill>
    </fill>
    <fill>
      <patternFill patternType="solid">
        <fgColor rgb="FF373A3A"/>
        <bgColor indexed="64"/>
      </patternFill>
    </fill>
    <fill>
      <patternFill patternType="solid">
        <fgColor rgb="FFE7B667"/>
        <bgColor indexed="64"/>
      </patternFill>
    </fill>
    <fill>
      <patternFill patternType="solid">
        <fgColor theme="9" tint="0.59999389629810485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787674"/>
      </left>
      <right/>
      <top style="medium">
        <color rgb="FF787674"/>
      </top>
      <bottom/>
      <diagonal/>
    </border>
    <border>
      <left/>
      <right/>
      <top style="medium">
        <color rgb="FF787674"/>
      </top>
      <bottom/>
      <diagonal/>
    </border>
    <border>
      <left/>
      <right style="medium">
        <color rgb="FF787674"/>
      </right>
      <top style="medium">
        <color rgb="FF787674"/>
      </top>
      <bottom/>
      <diagonal/>
    </border>
    <border>
      <left style="medium">
        <color rgb="FF787674"/>
      </left>
      <right/>
      <top/>
      <bottom/>
      <diagonal/>
    </border>
    <border>
      <left/>
      <right style="medium">
        <color rgb="FF787674"/>
      </right>
      <top/>
      <bottom/>
      <diagonal/>
    </border>
    <border>
      <left style="medium">
        <color rgb="FF787674"/>
      </left>
      <right/>
      <top/>
      <bottom style="medium">
        <color rgb="FF787674"/>
      </bottom>
      <diagonal/>
    </border>
    <border>
      <left/>
      <right/>
      <top/>
      <bottom style="medium">
        <color rgb="FF787674"/>
      </bottom>
      <diagonal/>
    </border>
    <border>
      <left/>
      <right style="medium">
        <color rgb="FF787674"/>
      </right>
      <top/>
      <bottom style="medium">
        <color rgb="FF787674"/>
      </bottom>
      <diagonal/>
    </border>
    <border>
      <left/>
      <right/>
      <top style="medium">
        <color rgb="FFE8D7A4"/>
      </top>
      <bottom/>
      <diagonal/>
    </border>
    <border>
      <left/>
      <right/>
      <top/>
      <bottom style="medium">
        <color rgb="FFE8D7A4"/>
      </bottom>
      <diagonal/>
    </border>
    <border>
      <left style="thick">
        <color rgb="FFE8D7A4"/>
      </left>
      <right/>
      <top style="medium">
        <color rgb="FFE8D7A4"/>
      </top>
      <bottom/>
      <diagonal/>
    </border>
    <border>
      <left style="thick">
        <color rgb="FFE8D7A4"/>
      </left>
      <right/>
      <top/>
      <bottom/>
      <diagonal/>
    </border>
    <border>
      <left/>
      <right style="thick">
        <color rgb="FFE8D7A4"/>
      </right>
      <top/>
      <bottom/>
      <diagonal/>
    </border>
    <border>
      <left style="thick">
        <color rgb="FFE8D7A4"/>
      </left>
      <right/>
      <top/>
      <bottom style="medium">
        <color rgb="FFE8D7A4"/>
      </bottom>
      <diagonal/>
    </border>
    <border>
      <left style="medium">
        <color rgb="FF787674"/>
      </left>
      <right/>
      <top/>
      <bottom style="medium">
        <color rgb="FFE8D7A4"/>
      </bottom>
      <diagonal/>
    </border>
    <border>
      <left/>
      <right style="medium">
        <color rgb="FF787674"/>
      </right>
      <top/>
      <bottom style="medium">
        <color rgb="FFE8D7A4"/>
      </bottom>
      <diagonal/>
    </border>
    <border>
      <left style="medium">
        <color rgb="FF787674"/>
      </left>
      <right/>
      <top style="medium">
        <color rgb="FFE8D7A4"/>
      </top>
      <bottom/>
      <diagonal/>
    </border>
    <border>
      <left/>
      <right style="medium">
        <color rgb="FF787674"/>
      </right>
      <top style="medium">
        <color rgb="FFE8D7A4"/>
      </top>
      <bottom/>
      <diagonal/>
    </border>
    <border>
      <left/>
      <right style="thick">
        <color rgb="FFE8D7A4"/>
      </right>
      <top/>
      <bottom style="medium">
        <color rgb="FF787674"/>
      </bottom>
      <diagonal/>
    </border>
    <border>
      <left style="thick">
        <color rgb="FFE8D7A4"/>
      </left>
      <right/>
      <top/>
      <bottom style="medium">
        <color rgb="FF787674"/>
      </bottom>
      <diagonal/>
    </border>
    <border>
      <left style="thick">
        <color rgb="FFE8D7A4"/>
      </left>
      <right/>
      <top style="medium">
        <color rgb="FF787674"/>
      </top>
      <bottom/>
      <diagonal/>
    </border>
    <border>
      <left/>
      <right style="thick">
        <color rgb="FFE8D7A4"/>
      </right>
      <top style="medium">
        <color rgb="FF787674"/>
      </top>
      <bottom/>
      <diagonal/>
    </border>
    <border>
      <left style="thick">
        <color rgb="FFE8D7A4"/>
      </left>
      <right/>
      <top style="thick">
        <color rgb="FFE8D7A4"/>
      </top>
      <bottom/>
      <diagonal/>
    </border>
    <border>
      <left/>
      <right/>
      <top style="thick">
        <color rgb="FFE8D7A4"/>
      </top>
      <bottom/>
      <diagonal/>
    </border>
    <border>
      <left/>
      <right style="thick">
        <color rgb="FFE8D7A4"/>
      </right>
      <top style="thick">
        <color rgb="FFE8D7A4"/>
      </top>
      <bottom/>
      <diagonal/>
    </border>
    <border>
      <left style="thick">
        <color rgb="FFE8D7A4"/>
      </left>
      <right/>
      <top/>
      <bottom style="thick">
        <color rgb="FFE8D7A4"/>
      </bottom>
      <diagonal/>
    </border>
    <border>
      <left/>
      <right/>
      <top/>
      <bottom style="thick">
        <color rgb="FFE8D7A4"/>
      </bottom>
      <diagonal/>
    </border>
    <border>
      <left/>
      <right style="thick">
        <color rgb="FFE8D7A4"/>
      </right>
      <top/>
      <bottom style="thick">
        <color rgb="FFE8D7A4"/>
      </bottom>
      <diagonal/>
    </border>
    <border>
      <left/>
      <right style="thick">
        <color rgb="FFE8D7A4"/>
      </right>
      <top/>
      <bottom style="medium">
        <color rgb="FFE8D7A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76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10" fillId="0" borderId="0" xfId="0" applyFont="1"/>
    <xf numFmtId="0" fontId="7" fillId="0" borderId="0" xfId="0" applyFont="1"/>
    <xf numFmtId="0" fontId="13" fillId="0" borderId="0" xfId="0" applyFont="1"/>
    <xf numFmtId="4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21" fillId="0" borderId="0" xfId="0" applyFont="1"/>
    <xf numFmtId="0" fontId="20" fillId="0" borderId="0" xfId="0" applyFont="1" applyAlignment="1">
      <alignment vertical="center"/>
    </xf>
    <xf numFmtId="4" fontId="19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4" fontId="23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0" fillId="3" borderId="0" xfId="0" applyFill="1"/>
    <xf numFmtId="44" fontId="0" fillId="3" borderId="0" xfId="1" applyFont="1" applyFill="1"/>
    <xf numFmtId="0" fontId="22" fillId="0" borderId="0" xfId="0" applyFont="1" applyAlignment="1">
      <alignment vertical="center" wrapText="1"/>
    </xf>
    <xf numFmtId="0" fontId="0" fillId="5" borderId="0" xfId="0" applyFill="1"/>
    <xf numFmtId="44" fontId="0" fillId="5" borderId="0" xfId="1" applyFont="1" applyFill="1"/>
    <xf numFmtId="0" fontId="32" fillId="0" borderId="0" xfId="0" applyFont="1"/>
    <xf numFmtId="0" fontId="32" fillId="0" borderId="0" xfId="0" applyFont="1" applyAlignment="1">
      <alignment horizontal="center"/>
    </xf>
    <xf numFmtId="164" fontId="32" fillId="0" borderId="0" xfId="1" applyNumberFormat="1" applyFont="1" applyFill="1" applyBorder="1"/>
    <xf numFmtId="0" fontId="34" fillId="3" borderId="0" xfId="0" applyFont="1" applyFill="1" applyAlignment="1">
      <alignment vertical="center"/>
    </xf>
    <xf numFmtId="44" fontId="0" fillId="3" borderId="0" xfId="1" applyFont="1" applyFill="1" applyAlignment="1"/>
    <xf numFmtId="14" fontId="5" fillId="4" borderId="0" xfId="0" applyNumberFormat="1" applyFont="1" applyFill="1" applyAlignment="1">
      <alignment horizontal="center" vertical="center" wrapText="1"/>
    </xf>
    <xf numFmtId="14" fontId="32" fillId="0" borderId="0" xfId="0" applyNumberFormat="1" applyFont="1"/>
    <xf numFmtId="0" fontId="32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8" fillId="6" borderId="1" xfId="0" quotePrefix="1" applyFont="1" applyFill="1" applyBorder="1" applyAlignment="1">
      <alignment horizontal="center" vertical="center"/>
    </xf>
    <xf numFmtId="1" fontId="38" fillId="6" borderId="1" xfId="0" applyNumberFormat="1" applyFont="1" applyFill="1" applyBorder="1" applyAlignment="1">
      <alignment horizontal="center" vertical="center"/>
    </xf>
    <xf numFmtId="1" fontId="38" fillId="6" borderId="0" xfId="0" applyNumberFormat="1" applyFont="1" applyFill="1" applyAlignment="1">
      <alignment horizontal="center" vertical="center"/>
    </xf>
    <xf numFmtId="164" fontId="38" fillId="6" borderId="0" xfId="0" applyNumberFormat="1" applyFont="1" applyFill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2" fillId="7" borderId="0" xfId="0" applyFont="1" applyFill="1" applyAlignment="1">
      <alignment horizontal="center"/>
    </xf>
    <xf numFmtId="0" fontId="0" fillId="7" borderId="0" xfId="0" applyFill="1"/>
    <xf numFmtId="0" fontId="39" fillId="8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1" fontId="37" fillId="7" borderId="0" xfId="0" applyNumberFormat="1" applyFont="1" applyFill="1" applyAlignment="1">
      <alignment horizontal="center" vertical="center"/>
    </xf>
    <xf numFmtId="0" fontId="36" fillId="7" borderId="0" xfId="0" applyFont="1" applyFill="1" applyAlignment="1">
      <alignment horizontal="center"/>
    </xf>
    <xf numFmtId="0" fontId="33" fillId="8" borderId="0" xfId="0" applyFont="1" applyFill="1" applyAlignment="1">
      <alignment horizontal="right" vertical="center"/>
    </xf>
    <xf numFmtId="0" fontId="36" fillId="8" borderId="0" xfId="0" applyFont="1" applyFill="1" applyAlignment="1">
      <alignment horizontal="right" vertical="center"/>
    </xf>
    <xf numFmtId="0" fontId="36" fillId="7" borderId="1" xfId="0" applyFont="1" applyFill="1" applyBorder="1" applyAlignment="1">
      <alignment horizontal="center"/>
    </xf>
    <xf numFmtId="0" fontId="36" fillId="8" borderId="0" xfId="0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9" fillId="7" borderId="7" xfId="0" applyFont="1" applyFill="1" applyBorder="1" applyAlignment="1">
      <alignment vertical="top"/>
    </xf>
    <xf numFmtId="0" fontId="9" fillId="7" borderId="0" xfId="0" applyFont="1" applyFill="1" applyAlignment="1">
      <alignment vertical="top"/>
    </xf>
    <xf numFmtId="0" fontId="9" fillId="7" borderId="8" xfId="0" applyFont="1" applyFill="1" applyBorder="1" applyAlignment="1">
      <alignment vertical="top"/>
    </xf>
    <xf numFmtId="0" fontId="0" fillId="7" borderId="7" xfId="0" applyFill="1" applyBorder="1"/>
    <xf numFmtId="0" fontId="6" fillId="7" borderId="0" xfId="0" applyFont="1" applyFill="1"/>
    <xf numFmtId="0" fontId="0" fillId="7" borderId="9" xfId="0" applyFill="1" applyBorder="1"/>
    <xf numFmtId="0" fontId="0" fillId="7" borderId="10" xfId="0" applyFill="1" applyBorder="1"/>
    <xf numFmtId="0" fontId="5" fillId="7" borderId="0" xfId="0" applyFont="1" applyFill="1"/>
    <xf numFmtId="0" fontId="0" fillId="7" borderId="8" xfId="0" applyFill="1" applyBorder="1"/>
    <xf numFmtId="0" fontId="33" fillId="7" borderId="0" xfId="0" applyFont="1" applyFill="1"/>
    <xf numFmtId="0" fontId="0" fillId="7" borderId="11" xfId="0" applyFill="1" applyBorder="1"/>
    <xf numFmtId="0" fontId="0" fillId="9" borderId="0" xfId="0" applyFill="1"/>
    <xf numFmtId="0" fontId="35" fillId="7" borderId="0" xfId="0" applyFont="1" applyFill="1"/>
    <xf numFmtId="0" fontId="38" fillId="7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6" fontId="0" fillId="0" borderId="48" xfId="0" applyNumberFormat="1" applyBorder="1" applyAlignment="1">
      <alignment horizontal="center"/>
    </xf>
    <xf numFmtId="164" fontId="0" fillId="0" borderId="48" xfId="0" applyNumberFormat="1" applyBorder="1"/>
    <xf numFmtId="0" fontId="0" fillId="0" borderId="49" xfId="0" applyBorder="1" applyAlignment="1">
      <alignment horizontal="center"/>
    </xf>
    <xf numFmtId="164" fontId="0" fillId="0" borderId="50" xfId="0" applyNumberFormat="1" applyBorder="1"/>
    <xf numFmtId="0" fontId="0" fillId="0" borderId="51" xfId="0" applyBorder="1" applyAlignment="1">
      <alignment horizontal="center"/>
    </xf>
    <xf numFmtId="166" fontId="0" fillId="0" borderId="52" xfId="0" applyNumberFormat="1" applyBorder="1" applyAlignment="1">
      <alignment horizontal="center"/>
    </xf>
    <xf numFmtId="164" fontId="0" fillId="0" borderId="52" xfId="0" applyNumberFormat="1" applyBorder="1"/>
    <xf numFmtId="164" fontId="0" fillId="0" borderId="53" xfId="0" applyNumberFormat="1" applyBorder="1"/>
    <xf numFmtId="0" fontId="43" fillId="0" borderId="54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55" xfId="0" applyFont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/>
    <xf numFmtId="0" fontId="28" fillId="0" borderId="20" xfId="0" applyFont="1" applyBorder="1"/>
    <xf numFmtId="0" fontId="0" fillId="0" borderId="23" xfId="0" applyBorder="1"/>
    <xf numFmtId="0" fontId="28" fillId="0" borderId="0" xfId="0" applyFont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62" xfId="0" applyBorder="1" applyAlignment="1">
      <alignment horizontal="center" vertical="center"/>
    </xf>
    <xf numFmtId="166" fontId="0" fillId="0" borderId="49" xfId="0" applyNumberFormat="1" applyBorder="1" applyAlignment="1">
      <alignment horizontal="center"/>
    </xf>
    <xf numFmtId="166" fontId="0" fillId="0" borderId="51" xfId="0" applyNumberFormat="1" applyBorder="1" applyAlignment="1">
      <alignment horizontal="center"/>
    </xf>
    <xf numFmtId="0" fontId="43" fillId="0" borderId="49" xfId="0" applyFont="1" applyBorder="1" applyAlignment="1">
      <alignment horizontal="center" vertical="center"/>
    </xf>
    <xf numFmtId="0" fontId="43" fillId="0" borderId="48" xfId="0" applyFont="1" applyBorder="1" applyAlignment="1">
      <alignment horizontal="center" vertical="center"/>
    </xf>
    <xf numFmtId="0" fontId="43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166" fontId="0" fillId="11" borderId="56" xfId="0" applyNumberFormat="1" applyFill="1" applyBorder="1" applyAlignment="1">
      <alignment horizontal="center"/>
    </xf>
    <xf numFmtId="0" fontId="0" fillId="11" borderId="57" xfId="0" applyFill="1" applyBorder="1" applyAlignment="1">
      <alignment horizontal="center"/>
    </xf>
    <xf numFmtId="0" fontId="0" fillId="11" borderId="58" xfId="0" applyFill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166" fontId="0" fillId="0" borderId="0" xfId="0" applyNumberFormat="1"/>
    <xf numFmtId="9" fontId="0" fillId="0" borderId="0" xfId="3" applyFont="1" applyAlignment="1">
      <alignment horizontal="center"/>
    </xf>
    <xf numFmtId="0" fontId="2" fillId="3" borderId="0" xfId="0" applyFont="1" applyFill="1" applyAlignment="1">
      <alignment horizontal="center"/>
    </xf>
    <xf numFmtId="164" fontId="32" fillId="0" borderId="0" xfId="1" applyNumberFormat="1" applyFont="1"/>
    <xf numFmtId="164" fontId="32" fillId="0" borderId="0" xfId="0" applyNumberFormat="1" applyFont="1"/>
    <xf numFmtId="0" fontId="2" fillId="3" borderId="59" xfId="0" applyFont="1" applyFill="1" applyBorder="1"/>
    <xf numFmtId="14" fontId="2" fillId="3" borderId="0" xfId="0" applyNumberFormat="1" applyFont="1" applyFill="1" applyAlignment="1">
      <alignment horizontal="center"/>
    </xf>
    <xf numFmtId="14" fontId="32" fillId="0" borderId="0" xfId="0" applyNumberFormat="1" applyFont="1" applyAlignment="1">
      <alignment horizontal="left"/>
    </xf>
    <xf numFmtId="0" fontId="32" fillId="0" borderId="0" xfId="1" applyNumberFormat="1" applyFont="1" applyFill="1" applyBorder="1" applyAlignment="1">
      <alignment horizontal="left"/>
    </xf>
    <xf numFmtId="0" fontId="32" fillId="0" borderId="0" xfId="1" applyNumberFormat="1" applyFont="1" applyFill="1" applyAlignment="1">
      <alignment horizontal="left"/>
    </xf>
    <xf numFmtId="164" fontId="32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0" fillId="0" borderId="0" xfId="0" applyFont="1" applyAlignment="1">
      <alignment horizontal="center" wrapText="1"/>
    </xf>
    <xf numFmtId="0" fontId="27" fillId="3" borderId="19" xfId="0" applyFont="1" applyFill="1" applyBorder="1" applyAlignment="1">
      <alignment horizontal="center" vertical="center"/>
    </xf>
    <xf numFmtId="0" fontId="27" fillId="3" borderId="20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4" xfId="0" applyFont="1" applyFill="1" applyBorder="1" applyAlignment="1">
      <alignment horizontal="center" vertical="center"/>
    </xf>
    <xf numFmtId="0" fontId="27" fillId="3" borderId="25" xfId="0" applyFont="1" applyFill="1" applyBorder="1" applyAlignment="1">
      <alignment horizontal="center" vertical="center"/>
    </xf>
    <xf numFmtId="0" fontId="27" fillId="3" borderId="26" xfId="0" applyFont="1" applyFill="1" applyBorder="1" applyAlignment="1">
      <alignment horizontal="center" vertical="center"/>
    </xf>
    <xf numFmtId="165" fontId="26" fillId="2" borderId="22" xfId="0" applyNumberFormat="1" applyFont="1" applyFill="1" applyBorder="1" applyAlignment="1">
      <alignment horizontal="center" vertical="center"/>
    </xf>
    <xf numFmtId="165" fontId="26" fillId="2" borderId="0" xfId="0" applyNumberFormat="1" applyFont="1" applyFill="1" applyAlignment="1">
      <alignment horizontal="center" vertical="center"/>
    </xf>
    <xf numFmtId="165" fontId="26" fillId="2" borderId="23" xfId="0" applyNumberFormat="1" applyFont="1" applyFill="1" applyBorder="1" applyAlignment="1">
      <alignment horizontal="center" vertical="center"/>
    </xf>
    <xf numFmtId="165" fontId="26" fillId="2" borderId="24" xfId="0" applyNumberFormat="1" applyFont="1" applyFill="1" applyBorder="1" applyAlignment="1">
      <alignment horizontal="center" vertical="center"/>
    </xf>
    <xf numFmtId="165" fontId="26" fillId="2" borderId="25" xfId="0" applyNumberFormat="1" applyFont="1" applyFill="1" applyBorder="1" applyAlignment="1">
      <alignment horizontal="center" vertical="center"/>
    </xf>
    <xf numFmtId="165" fontId="26" fillId="2" borderId="26" xfId="0" applyNumberFormat="1" applyFont="1" applyFill="1" applyBorder="1" applyAlignment="1">
      <alignment horizontal="center" vertical="center"/>
    </xf>
    <xf numFmtId="9" fontId="26" fillId="2" borderId="22" xfId="3" applyFont="1" applyFill="1" applyBorder="1" applyAlignment="1">
      <alignment horizontal="center" vertical="center"/>
    </xf>
    <xf numFmtId="9" fontId="26" fillId="2" borderId="0" xfId="3" applyFont="1" applyFill="1" applyBorder="1" applyAlignment="1">
      <alignment horizontal="center" vertical="center"/>
    </xf>
    <xf numFmtId="9" fontId="26" fillId="2" borderId="23" xfId="3" applyFont="1" applyFill="1" applyBorder="1" applyAlignment="1">
      <alignment horizontal="center" vertical="center"/>
    </xf>
    <xf numFmtId="9" fontId="26" fillId="2" borderId="24" xfId="3" applyFont="1" applyFill="1" applyBorder="1" applyAlignment="1">
      <alignment horizontal="center" vertical="center"/>
    </xf>
    <xf numFmtId="9" fontId="26" fillId="2" borderId="25" xfId="3" applyFont="1" applyFill="1" applyBorder="1" applyAlignment="1">
      <alignment horizontal="center" vertical="center"/>
    </xf>
    <xf numFmtId="9" fontId="26" fillId="2" borderId="26" xfId="3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7" fillId="3" borderId="0" xfId="0" applyFont="1" applyFill="1" applyAlignment="1">
      <alignment horizontal="center" vertical="center"/>
    </xf>
    <xf numFmtId="0" fontId="44" fillId="3" borderId="19" xfId="0" applyFont="1" applyFill="1" applyBorder="1" applyAlignment="1">
      <alignment horizontal="center" vertical="center"/>
    </xf>
    <xf numFmtId="0" fontId="44" fillId="3" borderId="20" xfId="0" applyFont="1" applyFill="1" applyBorder="1" applyAlignment="1">
      <alignment horizontal="center" vertical="center"/>
    </xf>
    <xf numFmtId="0" fontId="44" fillId="3" borderId="40" xfId="0" applyFont="1" applyFill="1" applyBorder="1" applyAlignment="1">
      <alignment horizontal="center" vertical="center"/>
    </xf>
    <xf numFmtId="0" fontId="44" fillId="3" borderId="22" xfId="0" applyFont="1" applyFill="1" applyBorder="1" applyAlignment="1">
      <alignment horizontal="center" vertical="center"/>
    </xf>
    <xf numFmtId="0" fontId="44" fillId="3" borderId="0" xfId="0" applyFont="1" applyFill="1" applyAlignment="1">
      <alignment horizontal="center" vertical="center"/>
    </xf>
    <xf numFmtId="0" fontId="44" fillId="3" borderId="31" xfId="0" applyFont="1" applyFill="1" applyBorder="1" applyAlignment="1">
      <alignment horizontal="center" vertical="center"/>
    </xf>
    <xf numFmtId="0" fontId="44" fillId="3" borderId="33" xfId="0" applyFont="1" applyFill="1" applyBorder="1" applyAlignment="1">
      <alignment horizontal="center" vertical="center"/>
    </xf>
    <xf numFmtId="0" fontId="44" fillId="3" borderId="28" xfId="0" applyFont="1" applyFill="1" applyBorder="1" applyAlignment="1">
      <alignment horizontal="center" vertical="center"/>
    </xf>
    <xf numFmtId="0" fontId="44" fillId="3" borderId="47" xfId="0" applyFont="1" applyFill="1" applyBorder="1" applyAlignment="1">
      <alignment horizontal="center" vertical="center"/>
    </xf>
    <xf numFmtId="165" fontId="29" fillId="0" borderId="39" xfId="0" applyNumberFormat="1" applyFont="1" applyBorder="1" applyAlignment="1">
      <alignment horizontal="left" vertical="center"/>
    </xf>
    <xf numFmtId="165" fontId="29" fillId="0" borderId="20" xfId="0" applyNumberFormat="1" applyFont="1" applyBorder="1" applyAlignment="1">
      <alignment horizontal="left" vertical="center"/>
    </xf>
    <xf numFmtId="165" fontId="29" fillId="0" borderId="40" xfId="0" applyNumberFormat="1" applyFont="1" applyBorder="1" applyAlignment="1">
      <alignment horizontal="left" vertical="center"/>
    </xf>
    <xf numFmtId="165" fontId="29" fillId="0" borderId="30" xfId="0" applyNumberFormat="1" applyFont="1" applyBorder="1" applyAlignment="1">
      <alignment horizontal="left" vertical="center"/>
    </xf>
    <xf numFmtId="165" fontId="29" fillId="0" borderId="0" xfId="0" applyNumberFormat="1" applyFont="1" applyAlignment="1">
      <alignment horizontal="left" vertical="center"/>
    </xf>
    <xf numFmtId="165" fontId="29" fillId="0" borderId="31" xfId="0" applyNumberFormat="1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5" fontId="29" fillId="0" borderId="39" xfId="0" applyNumberFormat="1" applyFont="1" applyBorder="1" applyAlignment="1">
      <alignment horizontal="center" vertical="center"/>
    </xf>
    <xf numFmtId="165" fontId="29" fillId="0" borderId="20" xfId="0" applyNumberFormat="1" applyFont="1" applyBorder="1" applyAlignment="1">
      <alignment horizontal="center" vertical="center"/>
    </xf>
    <xf numFmtId="165" fontId="29" fillId="0" borderId="21" xfId="0" applyNumberFormat="1" applyFont="1" applyBorder="1" applyAlignment="1">
      <alignment horizontal="center" vertical="center"/>
    </xf>
    <xf numFmtId="165" fontId="29" fillId="0" borderId="30" xfId="0" applyNumberFormat="1" applyFont="1" applyBorder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5" fontId="29" fillId="0" borderId="23" xfId="0" applyNumberFormat="1" applyFont="1" applyBorder="1" applyAlignment="1">
      <alignment horizontal="center" vertical="center"/>
    </xf>
    <xf numFmtId="165" fontId="29" fillId="0" borderId="32" xfId="0" applyNumberFormat="1" applyFont="1" applyBorder="1" applyAlignment="1">
      <alignment horizontal="center" vertical="center"/>
    </xf>
    <xf numFmtId="165" fontId="29" fillId="0" borderId="28" xfId="0" applyNumberFormat="1" applyFont="1" applyBorder="1" applyAlignment="1">
      <alignment horizontal="center" vertical="center"/>
    </xf>
    <xf numFmtId="165" fontId="29" fillId="0" borderId="34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44" fillId="3" borderId="35" xfId="0" applyFont="1" applyFill="1" applyBorder="1" applyAlignment="1">
      <alignment horizontal="center" vertical="center"/>
    </xf>
    <xf numFmtId="0" fontId="44" fillId="3" borderId="27" xfId="0" applyFont="1" applyFill="1" applyBorder="1" applyAlignment="1">
      <alignment horizontal="center" vertical="center"/>
    </xf>
    <xf numFmtId="0" fontId="44" fillId="3" borderId="24" xfId="0" applyFont="1" applyFill="1" applyBorder="1" applyAlignment="1">
      <alignment horizontal="center" vertical="center"/>
    </xf>
    <xf numFmtId="0" fontId="44" fillId="3" borderId="25" xfId="0" applyFont="1" applyFill="1" applyBorder="1" applyAlignment="1">
      <alignment horizontal="center" vertical="center"/>
    </xf>
    <xf numFmtId="165" fontId="29" fillId="0" borderId="41" xfId="0" applyNumberFormat="1" applyFont="1" applyBorder="1" applyAlignment="1">
      <alignment horizontal="left" vertical="center"/>
    </xf>
    <xf numFmtId="165" fontId="29" fillId="0" borderId="42" xfId="0" applyNumberFormat="1" applyFont="1" applyBorder="1" applyAlignment="1">
      <alignment horizontal="left" vertical="center"/>
    </xf>
    <xf numFmtId="165" fontId="29" fillId="0" borderId="43" xfId="0" applyNumberFormat="1" applyFont="1" applyBorder="1" applyAlignment="1">
      <alignment horizontal="left" vertical="center"/>
    </xf>
    <xf numFmtId="165" fontId="29" fillId="0" borderId="38" xfId="0" applyNumberFormat="1" applyFont="1" applyBorder="1" applyAlignment="1">
      <alignment horizontal="left" vertical="center"/>
    </xf>
    <xf numFmtId="165" fontId="29" fillId="0" borderId="25" xfId="0" applyNumberFormat="1" applyFont="1" applyBorder="1" applyAlignment="1">
      <alignment horizontal="left" vertical="center"/>
    </xf>
    <xf numFmtId="165" fontId="29" fillId="0" borderId="37" xfId="0" applyNumberFormat="1" applyFont="1" applyBorder="1" applyAlignment="1">
      <alignment horizontal="left" vertical="center"/>
    </xf>
    <xf numFmtId="165" fontId="29" fillId="0" borderId="29" xfId="0" applyNumberFormat="1" applyFont="1" applyBorder="1" applyAlignment="1">
      <alignment horizontal="center" vertical="center"/>
    </xf>
    <xf numFmtId="165" fontId="29" fillId="0" borderId="27" xfId="0" applyNumberFormat="1" applyFont="1" applyBorder="1" applyAlignment="1">
      <alignment horizontal="center" vertical="center"/>
    </xf>
    <xf numFmtId="165" fontId="29" fillId="0" borderId="36" xfId="0" applyNumberFormat="1" applyFont="1" applyBorder="1" applyAlignment="1">
      <alignment horizontal="center" vertical="center"/>
    </xf>
    <xf numFmtId="165" fontId="29" fillId="0" borderId="38" xfId="0" applyNumberFormat="1" applyFont="1" applyBorder="1" applyAlignment="1">
      <alignment horizontal="center" vertical="center"/>
    </xf>
    <xf numFmtId="165" fontId="29" fillId="0" borderId="25" xfId="0" applyNumberFormat="1" applyFont="1" applyBorder="1" applyAlignment="1">
      <alignment horizontal="center" vertical="center"/>
    </xf>
    <xf numFmtId="165" fontId="29" fillId="0" borderId="26" xfId="0" applyNumberFormat="1" applyFont="1" applyBorder="1" applyAlignment="1">
      <alignment horizontal="center" vertical="center"/>
    </xf>
    <xf numFmtId="165" fontId="29" fillId="0" borderId="44" xfId="0" applyNumberFormat="1" applyFont="1" applyBorder="1" applyAlignment="1">
      <alignment horizontal="left" vertical="center"/>
    </xf>
    <xf numFmtId="165" fontId="29" fillId="0" borderId="45" xfId="0" applyNumberFormat="1" applyFont="1" applyBorder="1" applyAlignment="1">
      <alignment horizontal="left" vertical="center"/>
    </xf>
    <xf numFmtId="165" fontId="29" fillId="0" borderId="46" xfId="0" applyNumberFormat="1" applyFont="1" applyBorder="1" applyAlignment="1">
      <alignment horizontal="left" vertical="center"/>
    </xf>
    <xf numFmtId="0" fontId="2" fillId="3" borderId="56" xfId="0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0" fontId="2" fillId="3" borderId="58" xfId="0" applyFont="1" applyFill="1" applyBorder="1" applyAlignment="1">
      <alignment horizontal="center"/>
    </xf>
    <xf numFmtId="0" fontId="2" fillId="3" borderId="59" xfId="0" applyFont="1" applyFill="1" applyBorder="1" applyAlignment="1">
      <alignment horizontal="center"/>
    </xf>
    <xf numFmtId="0" fontId="2" fillId="3" borderId="60" xfId="0" applyFont="1" applyFill="1" applyBorder="1" applyAlignment="1">
      <alignment horizontal="center"/>
    </xf>
    <xf numFmtId="0" fontId="2" fillId="3" borderId="61" xfId="0" applyFont="1" applyFill="1" applyBorder="1" applyAlignment="1">
      <alignment horizontal="center"/>
    </xf>
    <xf numFmtId="0" fontId="2" fillId="3" borderId="65" xfId="0" applyFont="1" applyFill="1" applyBorder="1" applyAlignment="1">
      <alignment horizontal="center"/>
    </xf>
    <xf numFmtId="0" fontId="2" fillId="3" borderId="66" xfId="0" applyFont="1" applyFill="1" applyBorder="1" applyAlignment="1">
      <alignment horizontal="center"/>
    </xf>
    <xf numFmtId="0" fontId="40" fillId="7" borderId="0" xfId="0" applyFont="1" applyFill="1" applyAlignment="1">
      <alignment horizontal="center"/>
    </xf>
    <xf numFmtId="164" fontId="8" fillId="2" borderId="2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39" fillId="7" borderId="0" xfId="0" applyFont="1" applyFill="1" applyAlignment="1">
      <alignment horizontal="right" vertical="center"/>
    </xf>
    <xf numFmtId="0" fontId="33" fillId="2" borderId="0" xfId="0" applyFont="1" applyFill="1" applyAlignment="1">
      <alignment horizontal="center" vertical="center"/>
    </xf>
    <xf numFmtId="164" fontId="33" fillId="2" borderId="0" xfId="0" applyNumberFormat="1" applyFont="1" applyFill="1" applyAlignment="1">
      <alignment horizontal="center" vertical="center"/>
    </xf>
    <xf numFmtId="10" fontId="33" fillId="2" borderId="0" xfId="3" applyNumberFormat="1" applyFont="1" applyFill="1" applyBorder="1" applyAlignment="1">
      <alignment horizontal="center" vertical="center"/>
    </xf>
    <xf numFmtId="0" fontId="40" fillId="7" borderId="0" xfId="0" applyFont="1" applyFill="1" applyAlignment="1">
      <alignment horizontal="right" vertical="center"/>
    </xf>
    <xf numFmtId="0" fontId="40" fillId="7" borderId="18" xfId="0" applyFont="1" applyFill="1" applyBorder="1" applyAlignment="1">
      <alignment horizontal="right" vertical="center"/>
    </xf>
    <xf numFmtId="164" fontId="38" fillId="2" borderId="12" xfId="0" applyNumberFormat="1" applyFont="1" applyFill="1" applyBorder="1" applyAlignment="1">
      <alignment horizontal="center" vertical="center"/>
    </xf>
    <xf numFmtId="0" fontId="38" fillId="2" borderId="13" xfId="0" applyFont="1" applyFill="1" applyBorder="1" applyAlignment="1">
      <alignment horizontal="center" vertical="center"/>
    </xf>
    <xf numFmtId="0" fontId="38" fillId="2" borderId="14" xfId="0" applyFont="1" applyFill="1" applyBorder="1" applyAlignment="1">
      <alignment horizontal="center" vertical="center"/>
    </xf>
    <xf numFmtId="0" fontId="38" fillId="2" borderId="15" xfId="0" applyFont="1" applyFill="1" applyBorder="1" applyAlignment="1">
      <alignment horizontal="center" vertical="center"/>
    </xf>
    <xf numFmtId="0" fontId="38" fillId="2" borderId="16" xfId="0" applyFont="1" applyFill="1" applyBorder="1" applyAlignment="1">
      <alignment horizontal="center" vertical="center"/>
    </xf>
    <xf numFmtId="0" fontId="38" fillId="2" borderId="17" xfId="0" applyFont="1" applyFill="1" applyBorder="1" applyAlignment="1">
      <alignment horizontal="center" vertical="center"/>
    </xf>
    <xf numFmtId="10" fontId="38" fillId="2" borderId="12" xfId="3" applyNumberFormat="1" applyFont="1" applyFill="1" applyBorder="1" applyAlignment="1">
      <alignment horizontal="center" vertical="center"/>
    </xf>
    <xf numFmtId="10" fontId="38" fillId="2" borderId="13" xfId="3" applyNumberFormat="1" applyFont="1" applyFill="1" applyBorder="1" applyAlignment="1">
      <alignment horizontal="center" vertical="center"/>
    </xf>
    <xf numFmtId="10" fontId="38" fillId="2" borderId="14" xfId="3" applyNumberFormat="1" applyFont="1" applyFill="1" applyBorder="1" applyAlignment="1">
      <alignment horizontal="center" vertical="center"/>
    </xf>
    <xf numFmtId="10" fontId="38" fillId="2" borderId="15" xfId="3" applyNumberFormat="1" applyFont="1" applyFill="1" applyBorder="1" applyAlignment="1">
      <alignment horizontal="center" vertical="center"/>
    </xf>
    <xf numFmtId="10" fontId="38" fillId="2" borderId="16" xfId="3" applyNumberFormat="1" applyFont="1" applyFill="1" applyBorder="1" applyAlignment="1">
      <alignment horizontal="center" vertical="center"/>
    </xf>
    <xf numFmtId="10" fontId="38" fillId="2" borderId="17" xfId="3" applyNumberFormat="1" applyFont="1" applyFill="1" applyBorder="1" applyAlignment="1">
      <alignment horizontal="center" vertical="center"/>
    </xf>
    <xf numFmtId="0" fontId="38" fillId="2" borderId="12" xfId="0" applyFont="1" applyFill="1" applyBorder="1" applyAlignment="1" applyProtection="1">
      <alignment horizontal="center" vertical="center"/>
      <protection locked="0"/>
    </xf>
    <xf numFmtId="0" fontId="38" fillId="2" borderId="13" xfId="0" applyFont="1" applyFill="1" applyBorder="1" applyAlignment="1" applyProtection="1">
      <alignment horizontal="center" vertical="center"/>
      <protection locked="0"/>
    </xf>
    <xf numFmtId="0" fontId="38" fillId="2" borderId="14" xfId="0" applyFont="1" applyFill="1" applyBorder="1" applyAlignment="1" applyProtection="1">
      <alignment horizontal="center" vertical="center"/>
      <protection locked="0"/>
    </xf>
    <xf numFmtId="0" fontId="38" fillId="2" borderId="15" xfId="0" applyFont="1" applyFill="1" applyBorder="1" applyAlignment="1" applyProtection="1">
      <alignment horizontal="center" vertical="center"/>
      <protection locked="0"/>
    </xf>
    <xf numFmtId="0" fontId="38" fillId="2" borderId="16" xfId="0" applyFont="1" applyFill="1" applyBorder="1" applyAlignment="1" applyProtection="1">
      <alignment horizontal="center" vertical="center"/>
      <protection locked="0"/>
    </xf>
    <xf numFmtId="0" fontId="38" fillId="2" borderId="17" xfId="0" applyFont="1" applyFill="1" applyBorder="1" applyAlignment="1" applyProtection="1">
      <alignment horizontal="center" vertical="center"/>
      <protection locked="0"/>
    </xf>
    <xf numFmtId="0" fontId="38" fillId="2" borderId="12" xfId="0" applyFont="1" applyFill="1" applyBorder="1" applyAlignment="1">
      <alignment horizontal="center" vertical="center"/>
    </xf>
    <xf numFmtId="164" fontId="38" fillId="2" borderId="13" xfId="0" applyNumberFormat="1" applyFont="1" applyFill="1" applyBorder="1" applyAlignment="1">
      <alignment horizontal="center" vertical="center"/>
    </xf>
    <xf numFmtId="164" fontId="38" fillId="2" borderId="14" xfId="0" applyNumberFormat="1" applyFont="1" applyFill="1" applyBorder="1" applyAlignment="1">
      <alignment horizontal="center" vertical="center"/>
    </xf>
    <xf numFmtId="164" fontId="38" fillId="2" borderId="15" xfId="0" applyNumberFormat="1" applyFont="1" applyFill="1" applyBorder="1" applyAlignment="1">
      <alignment horizontal="center" vertical="center"/>
    </xf>
    <xf numFmtId="164" fontId="38" fillId="2" borderId="16" xfId="0" applyNumberFormat="1" applyFont="1" applyFill="1" applyBorder="1" applyAlignment="1">
      <alignment horizontal="center" vertical="center"/>
    </xf>
    <xf numFmtId="164" fontId="38" fillId="2" borderId="17" xfId="0" applyNumberFormat="1" applyFont="1" applyFill="1" applyBorder="1" applyAlignment="1">
      <alignment horizontal="center" vertical="center"/>
    </xf>
    <xf numFmtId="0" fontId="41" fillId="10" borderId="4" xfId="0" applyFont="1" applyFill="1" applyBorder="1" applyAlignment="1">
      <alignment horizontal="center" vertical="center"/>
    </xf>
    <xf numFmtId="0" fontId="41" fillId="10" borderId="5" xfId="0" applyFont="1" applyFill="1" applyBorder="1" applyAlignment="1">
      <alignment horizontal="center" vertical="center"/>
    </xf>
    <xf numFmtId="0" fontId="41" fillId="10" borderId="6" xfId="0" applyFont="1" applyFill="1" applyBorder="1" applyAlignment="1">
      <alignment horizontal="center" vertical="center"/>
    </xf>
    <xf numFmtId="0" fontId="41" fillId="10" borderId="7" xfId="0" applyFont="1" applyFill="1" applyBorder="1" applyAlignment="1">
      <alignment horizontal="center" vertical="center"/>
    </xf>
    <xf numFmtId="0" fontId="41" fillId="10" borderId="0" xfId="0" applyFont="1" applyFill="1" applyAlignment="1">
      <alignment horizontal="center" vertical="center"/>
    </xf>
    <xf numFmtId="0" fontId="41" fillId="10" borderId="8" xfId="0" applyFont="1" applyFill="1" applyBorder="1" applyAlignment="1">
      <alignment horizontal="center" vertical="center"/>
    </xf>
    <xf numFmtId="0" fontId="42" fillId="7" borderId="16" xfId="0" applyFont="1" applyFill="1" applyBorder="1" applyAlignment="1">
      <alignment horizontal="center" vertical="top"/>
    </xf>
  </cellXfs>
  <cellStyles count="4">
    <cellStyle name="Hyperlink" xfId="2" xr:uid="{00000000-000B-0000-0000-000008000000}"/>
    <cellStyle name="Moeda" xfId="1" builtinId="4"/>
    <cellStyle name="Normal" xfId="0" builtinId="0"/>
    <cellStyle name="Porcentagem" xfId="3" builtinId="5"/>
  </cellStyles>
  <dxfs count="48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7" tint="0.79998168889431442"/>
        </patternFill>
      </fill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  <numFmt numFmtId="0" formatCode="General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1382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d/mm/yyyy"/>
      <fill>
        <patternFill patternType="solid">
          <fgColor indexed="64"/>
          <bgColor rgb="FF31382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d/mm/yyyy"/>
      <fill>
        <patternFill patternType="solid">
          <fgColor indexed="64"/>
          <bgColor rgb="FF313829"/>
        </patternFill>
      </fill>
      <alignment horizontal="center" vertical="bottom" textRotation="0" wrapText="0" indent="0" justifyLastLine="0" shrinkToFit="0" readingOrder="0"/>
    </dxf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47"/>
    </tableStyle>
  </tableStyles>
  <colors>
    <mruColors>
      <color rgb="FF313829"/>
      <color rgb="FFB39563"/>
      <color rgb="FF1A261A"/>
      <color rgb="FF787674"/>
      <color rgb="FF373A3A"/>
      <color rgb="FF343C2C"/>
      <color rgb="FFEBC282"/>
      <color rgb="FFE7B667"/>
      <color rgb="FFA58C5F"/>
      <color rgb="FFB29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98104754843431"/>
          <c:y val="7.0223483597513375E-2"/>
          <c:w val="0.61330005681161648"/>
          <c:h val="0.901252945183216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'Base de Cálculos'!$C$2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31382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 de Cálculos'!$B$3:$B$7</c:f>
              <c:strCache>
                <c:ptCount val="5"/>
                <c:pt idx="0">
                  <c:v>Café</c:v>
                </c:pt>
                <c:pt idx="1">
                  <c:v>Chocolate Quente</c:v>
                </c:pt>
                <c:pt idx="2">
                  <c:v>Pão de Queijo</c:v>
                </c:pt>
                <c:pt idx="3">
                  <c:v>Coxinha</c:v>
                </c:pt>
                <c:pt idx="4">
                  <c:v>Refrigerante</c:v>
                </c:pt>
              </c:strCache>
            </c:strRef>
          </c:cat>
          <c:val>
            <c:numRef>
              <c:f>'Base de Cálculos'!$C$3:$C$7</c:f>
              <c:numCache>
                <c:formatCode>General</c:formatCode>
                <c:ptCount val="5"/>
                <c:pt idx="0">
                  <c:v>1635</c:v>
                </c:pt>
                <c:pt idx="1">
                  <c:v>750</c:v>
                </c:pt>
                <c:pt idx="2">
                  <c:v>620</c:v>
                </c:pt>
                <c:pt idx="3">
                  <c:v>550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2-49E8-B609-39B7DB003299}"/>
            </c:ext>
          </c:extLst>
        </c:ser>
        <c:ser>
          <c:idx val="1"/>
          <c:order val="1"/>
          <c:tx>
            <c:strRef>
              <c:f>'Base de Cálculos'!$D$2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B3956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 de Cálculos'!$B$3:$B$7</c:f>
              <c:strCache>
                <c:ptCount val="5"/>
                <c:pt idx="0">
                  <c:v>Café</c:v>
                </c:pt>
                <c:pt idx="1">
                  <c:v>Chocolate Quente</c:v>
                </c:pt>
                <c:pt idx="2">
                  <c:v>Pão de Queijo</c:v>
                </c:pt>
                <c:pt idx="3">
                  <c:v>Coxinha</c:v>
                </c:pt>
                <c:pt idx="4">
                  <c:v>Refrigerante</c:v>
                </c:pt>
              </c:strCache>
            </c:strRef>
          </c:cat>
          <c:val>
            <c:numRef>
              <c:f>'Base de Cálculos'!$D$3:$D$7</c:f>
              <c:numCache>
                <c:formatCode>General</c:formatCode>
                <c:ptCount val="5"/>
                <c:pt idx="0">
                  <c:v>945</c:v>
                </c:pt>
                <c:pt idx="1">
                  <c:v>500</c:v>
                </c:pt>
                <c:pt idx="2">
                  <c:v>400</c:v>
                </c:pt>
                <c:pt idx="3">
                  <c:v>245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2-49E8-B609-39B7DB0032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6874064"/>
        <c:axId val="146873648"/>
      </c:barChart>
      <c:catAx>
        <c:axId val="14687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73648"/>
        <c:crosses val="autoZero"/>
        <c:auto val="1"/>
        <c:lblAlgn val="ctr"/>
        <c:lblOffset val="100"/>
        <c:noMultiLvlLbl val="0"/>
      </c:catAx>
      <c:valAx>
        <c:axId val="1468736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687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134527982128409"/>
          <c:y val="0.11342776557119037"/>
          <c:w val="0.17575973500751069"/>
          <c:h val="0.19710530456231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72236722361815E-2"/>
          <c:y val="8.1481481481481488E-2"/>
          <c:w val="0.90853354890307803"/>
          <c:h val="0.76043161271507731"/>
        </c:manualLayout>
      </c:layout>
      <c:lineChart>
        <c:grouping val="standard"/>
        <c:varyColors val="0"/>
        <c:ser>
          <c:idx val="0"/>
          <c:order val="0"/>
          <c:tx>
            <c:strRef>
              <c:f>'Base de Cálculos'!$H$2</c:f>
              <c:strCache>
                <c:ptCount val="1"/>
                <c:pt idx="0">
                  <c:v>Faturamento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'Base de Cálculos'!$G$3:$G$14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Cálculos'!$H$3:$H$14</c:f>
              <c:numCache>
                <c:formatCode>_-[$R$-416]\ * #,##0.00_-;\-[$R$-416]\ * #,##0.00_-;_-[$R$-416]\ * "-"??_-;_-@_-</c:formatCode>
                <c:ptCount val="12"/>
                <c:pt idx="0">
                  <c:v>1475</c:v>
                </c:pt>
                <c:pt idx="1">
                  <c:v>1652.5</c:v>
                </c:pt>
                <c:pt idx="2">
                  <c:v>2302.5</c:v>
                </c:pt>
                <c:pt idx="3">
                  <c:v>1507.5</c:v>
                </c:pt>
                <c:pt idx="4">
                  <c:v>1372</c:v>
                </c:pt>
                <c:pt idx="5">
                  <c:v>1145</c:v>
                </c:pt>
                <c:pt idx="6">
                  <c:v>2217.5</c:v>
                </c:pt>
                <c:pt idx="7">
                  <c:v>1621.5</c:v>
                </c:pt>
                <c:pt idx="8">
                  <c:v>2234</c:v>
                </c:pt>
                <c:pt idx="9">
                  <c:v>1508</c:v>
                </c:pt>
                <c:pt idx="10">
                  <c:v>811.5</c:v>
                </c:pt>
                <c:pt idx="11">
                  <c:v>1195.5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8-4C41-9ED7-F540B13A7000}"/>
            </c:ext>
          </c:extLst>
        </c:ser>
        <c:ser>
          <c:idx val="1"/>
          <c:order val="1"/>
          <c:tx>
            <c:strRef>
              <c:f>'Base de Cálculos'!$I$2</c:f>
              <c:strCache>
                <c:ptCount val="1"/>
                <c:pt idx="0">
                  <c:v>Despesas</c:v>
                </c:pt>
              </c:strCache>
            </c:strRef>
          </c:tx>
          <c:spPr>
            <a:ln w="38100" cap="rnd">
              <a:solidFill>
                <a:srgbClr val="B3956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B39563"/>
              </a:solidFill>
              <a:ln w="38100">
                <a:solidFill>
                  <a:srgbClr val="B39563"/>
                </a:solidFill>
                <a:round/>
              </a:ln>
              <a:effectLst/>
            </c:spPr>
          </c:marker>
          <c:cat>
            <c:strRef>
              <c:f>'Base de Cálculos'!$G$3:$G$14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Cálculos'!$I$3:$I$14</c:f>
              <c:numCache>
                <c:formatCode>_-[$R$-416]\ * #,##0.00_-;\-[$R$-416]\ * #,##0.00_-;_-[$R$-416]\ * "-"??_-;_-@_-</c:formatCode>
                <c:ptCount val="12"/>
                <c:pt idx="0">
                  <c:v>297.5</c:v>
                </c:pt>
                <c:pt idx="1">
                  <c:v>378.75</c:v>
                </c:pt>
                <c:pt idx="2">
                  <c:v>922.5</c:v>
                </c:pt>
                <c:pt idx="3">
                  <c:v>362.5</c:v>
                </c:pt>
                <c:pt idx="4">
                  <c:v>723.75</c:v>
                </c:pt>
                <c:pt idx="5">
                  <c:v>376.25</c:v>
                </c:pt>
                <c:pt idx="6">
                  <c:v>355</c:v>
                </c:pt>
                <c:pt idx="7">
                  <c:v>431.25</c:v>
                </c:pt>
                <c:pt idx="8">
                  <c:v>806</c:v>
                </c:pt>
                <c:pt idx="9">
                  <c:v>247.75</c:v>
                </c:pt>
                <c:pt idx="10">
                  <c:v>218.75</c:v>
                </c:pt>
                <c:pt idx="11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B8-4C41-9ED7-F540B13A7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46320"/>
        <c:axId val="211548400"/>
      </c:lineChart>
      <c:catAx>
        <c:axId val="21154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548400"/>
        <c:crosses val="autoZero"/>
        <c:auto val="1"/>
        <c:lblAlgn val="ctr"/>
        <c:lblOffset val="100"/>
        <c:noMultiLvlLbl val="1"/>
      </c:catAx>
      <c:valAx>
        <c:axId val="2115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54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22490283158907E-2"/>
          <c:y val="8.909137637567098E-2"/>
          <c:w val="0.88133553822392852"/>
          <c:h val="0.72302084177001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Cálculos'!$M$2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313829"/>
            </a:solidFill>
            <a:ln>
              <a:noFill/>
            </a:ln>
            <a:effectLst/>
          </c:spPr>
          <c:invertIfNegative val="0"/>
          <c:cat>
            <c:strRef>
              <c:f>'Base de Cálculos'!$L$3:$L$14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Cálculos'!$M$3:$M$14</c:f>
              <c:numCache>
                <c:formatCode>General</c:formatCode>
                <c:ptCount val="12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150</c:v>
                </c:pt>
                <c:pt idx="4">
                  <c:v>100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180</c:v>
                </c:pt>
                <c:pt idx="9">
                  <c:v>100</c:v>
                </c:pt>
                <c:pt idx="10">
                  <c:v>80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2-44B1-824B-DFB8CE68F869}"/>
            </c:ext>
          </c:extLst>
        </c:ser>
        <c:ser>
          <c:idx val="1"/>
          <c:order val="1"/>
          <c:tx>
            <c:strRef>
              <c:f>'Base de Cálculos'!$N$2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B39563"/>
            </a:solidFill>
            <a:ln>
              <a:noFill/>
            </a:ln>
            <a:effectLst/>
          </c:spPr>
          <c:invertIfNegative val="0"/>
          <c:cat>
            <c:strRef>
              <c:f>'Base de Cálculos'!$L$3:$L$14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Cálculos'!$N$3:$N$14</c:f>
              <c:numCache>
                <c:formatCode>General</c:formatCode>
                <c:ptCount val="12"/>
                <c:pt idx="0">
                  <c:v>80</c:v>
                </c:pt>
                <c:pt idx="1">
                  <c:v>110</c:v>
                </c:pt>
                <c:pt idx="2">
                  <c:v>100</c:v>
                </c:pt>
                <c:pt idx="3">
                  <c:v>75</c:v>
                </c:pt>
                <c:pt idx="4">
                  <c:v>75</c:v>
                </c:pt>
                <c:pt idx="5">
                  <c:v>100</c:v>
                </c:pt>
                <c:pt idx="6">
                  <c:v>90</c:v>
                </c:pt>
                <c:pt idx="7">
                  <c:v>100</c:v>
                </c:pt>
                <c:pt idx="8">
                  <c:v>35</c:v>
                </c:pt>
                <c:pt idx="9">
                  <c:v>30</c:v>
                </c:pt>
                <c:pt idx="10">
                  <c:v>50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82-44B1-824B-DFB8CE68F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559055"/>
        <c:axId val="1700559887"/>
      </c:barChart>
      <c:catAx>
        <c:axId val="1700559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0559887"/>
        <c:crosses val="autoZero"/>
        <c:auto val="1"/>
        <c:lblAlgn val="ctr"/>
        <c:lblOffset val="100"/>
        <c:noMultiLvlLbl val="1"/>
      </c:catAx>
      <c:valAx>
        <c:axId val="17005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055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7D-4FDA-920A-49CA030A9E3C}"/>
              </c:ext>
            </c:extLst>
          </c:dPt>
          <c:dPt>
            <c:idx val="1"/>
            <c:bubble3D val="0"/>
            <c:spPr>
              <a:solidFill>
                <a:srgbClr val="B3956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7D-4FDA-920A-49CA030A9E3C}"/>
              </c:ext>
            </c:extLst>
          </c:dPt>
          <c:dLbls>
            <c:dLbl>
              <c:idx val="0"/>
              <c:layout>
                <c:manualLayout>
                  <c:x val="0.18253960649101914"/>
                  <c:y val="5.63442455943624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367693468444164"/>
                      <c:h val="0.292004052792783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7D-4FDA-920A-49CA030A9E3C}"/>
                </c:ext>
              </c:extLst>
            </c:dLbl>
            <c:dLbl>
              <c:idx val="1"/>
              <c:layout>
                <c:manualLayout>
                  <c:x val="-7.9365046300443179E-2"/>
                  <c:y val="-0.1056454604894296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7D-4FDA-920A-49CA030A9E3C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'Base de Cálculos'!$P$2:$P$3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'Base de Cálculos'!$Q$2:$Q$3</c:f>
              <c:numCache>
                <c:formatCode>General</c:formatCode>
                <c:ptCount val="2"/>
                <c:pt idx="0">
                  <c:v>1635</c:v>
                </c:pt>
                <c:pt idx="1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7D-4FDA-920A-49CA030A9E3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59167</xdr:colOff>
      <xdr:row>5</xdr:row>
      <xdr:rowOff>21066</xdr:rowOff>
    </xdr:from>
    <xdr:to>
      <xdr:col>31</xdr:col>
      <xdr:colOff>892</xdr:colOff>
      <xdr:row>5</xdr:row>
      <xdr:rowOff>21066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B2C68D8B-FC6B-4889-8500-246D0F124237}"/>
            </a:ext>
            <a:ext uri="{147F2762-F138-4A5C-976F-8EAC2B608ADB}">
              <a16:predDERef xmlns:a16="http://schemas.microsoft.com/office/drawing/2014/main" pred="{1F36D36E-57C6-45FA-9E9A-4EF9D0FC68A8}"/>
            </a:ext>
          </a:extLst>
        </xdr:cNvPr>
        <xdr:cNvCxnSpPr/>
      </xdr:nvCxnSpPr>
      <xdr:spPr>
        <a:xfrm>
          <a:off x="59167" y="592566"/>
          <a:ext cx="4429905" cy="0"/>
        </a:xfrm>
        <a:prstGeom prst="line">
          <a:avLst/>
        </a:prstGeom>
        <a:ln w="19050">
          <a:solidFill>
            <a:srgbClr val="775A4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91440</xdr:colOff>
      <xdr:row>0</xdr:row>
      <xdr:rowOff>0</xdr:rowOff>
    </xdr:from>
    <xdr:to>
      <xdr:col>29</xdr:col>
      <xdr:colOff>16087</xdr:colOff>
      <xdr:row>4</xdr:row>
      <xdr:rowOff>89244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4E050CF-13DE-4047-8AAB-8FF225BB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0440" y="0"/>
          <a:ext cx="1939714" cy="563377"/>
        </a:xfrm>
        <a:prstGeom prst="rect">
          <a:avLst/>
        </a:prstGeom>
      </xdr:spPr>
    </xdr:pic>
    <xdr:clientData/>
  </xdr:twoCellAnchor>
  <xdr:twoCellAnchor>
    <xdr:from>
      <xdr:col>2</xdr:col>
      <xdr:colOff>5443</xdr:colOff>
      <xdr:row>9</xdr:row>
      <xdr:rowOff>15128</xdr:rowOff>
    </xdr:from>
    <xdr:to>
      <xdr:col>24</xdr:col>
      <xdr:colOff>128868</xdr:colOff>
      <xdr:row>26</xdr:row>
      <xdr:rowOff>99491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B57A9621-3A61-CCFC-0F3D-BDCB0413E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9524</xdr:colOff>
      <xdr:row>9</xdr:row>
      <xdr:rowOff>104775</xdr:rowOff>
    </xdr:from>
    <xdr:to>
      <xdr:col>83</xdr:col>
      <xdr:colOff>133350</xdr:colOff>
      <xdr:row>24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23F55D-E99D-2103-2E41-478536C9C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28575</xdr:colOff>
      <xdr:row>31</xdr:row>
      <xdr:rowOff>20239</xdr:rowOff>
    </xdr:from>
    <xdr:to>
      <xdr:col>65</xdr:col>
      <xdr:colOff>111919</xdr:colOff>
      <xdr:row>44</xdr:row>
      <xdr:rowOff>102392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180EF053-CF1F-D838-7329-98FAE2E22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9524</xdr:colOff>
      <xdr:row>29</xdr:row>
      <xdr:rowOff>9525</xdr:rowOff>
    </xdr:from>
    <xdr:to>
      <xdr:col>83</xdr:col>
      <xdr:colOff>123825</xdr:colOff>
      <xdr:row>44</xdr:row>
      <xdr:rowOff>98226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CC9B49E9-20FC-31C1-765B-0D3A22513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360217</xdr:colOff>
      <xdr:row>0</xdr:row>
      <xdr:rowOff>96982</xdr:rowOff>
    </xdr:from>
    <xdr:to>
      <xdr:col>2</xdr:col>
      <xdr:colOff>1094510</xdr:colOff>
      <xdr:row>0</xdr:row>
      <xdr:rowOff>658092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8C730F-C230-2E70-3DF3-1C9A7D93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7" y="96982"/>
          <a:ext cx="2216729" cy="5611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360218</xdr:colOff>
      <xdr:row>0</xdr:row>
      <xdr:rowOff>76199</xdr:rowOff>
    </xdr:from>
    <xdr:to>
      <xdr:col>2</xdr:col>
      <xdr:colOff>983674</xdr:colOff>
      <xdr:row>0</xdr:row>
      <xdr:rowOff>637309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8CF01F9-FDFB-4D8C-9BB5-B0295C43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8" y="76199"/>
          <a:ext cx="2216729" cy="561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23553</xdr:colOff>
      <xdr:row>0</xdr:row>
      <xdr:rowOff>76199</xdr:rowOff>
    </xdr:from>
    <xdr:to>
      <xdr:col>3</xdr:col>
      <xdr:colOff>541418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AF855A-3F4A-459E-BBF7-B2FA9377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15933</xdr:colOff>
      <xdr:row>0</xdr:row>
      <xdr:rowOff>76199</xdr:rowOff>
    </xdr:from>
    <xdr:to>
      <xdr:col>3</xdr:col>
      <xdr:colOff>433649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B358B-4560-43C5-BF07-D26A36FB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9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23553</xdr:colOff>
      <xdr:row>0</xdr:row>
      <xdr:rowOff>76199</xdr:rowOff>
    </xdr:from>
    <xdr:to>
      <xdr:col>3</xdr:col>
      <xdr:colOff>45029</xdr:colOff>
      <xdr:row>0</xdr:row>
      <xdr:rowOff>637309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B480CB-C864-4D0A-8790-49E349F1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5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693</xdr:colOff>
      <xdr:row>0</xdr:row>
      <xdr:rowOff>76199</xdr:rowOff>
    </xdr:from>
    <xdr:to>
      <xdr:col>5</xdr:col>
      <xdr:colOff>372689</xdr:colOff>
      <xdr:row>0</xdr:row>
      <xdr:rowOff>637309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24A4C03-ADA0-4574-85F8-78F72B922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</xdr:colOff>
      <xdr:row>0</xdr:row>
      <xdr:rowOff>60960</xdr:rowOff>
    </xdr:from>
    <xdr:to>
      <xdr:col>15</xdr:col>
      <xdr:colOff>67196</xdr:colOff>
      <xdr:row>0</xdr:row>
      <xdr:rowOff>622070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7AF63C5-019A-43E3-B90C-29B774B6E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60960"/>
          <a:ext cx="2216036" cy="5611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78AD2E-2996-4673-93A5-FBABBADBFCAD}" name="TB_Produtos" displayName="TB_Produtos" ref="B4:F31" totalsRowShown="0" headerRowDxfId="46" dataDxfId="45">
  <autoFilter ref="B4:F31" xr:uid="{BF78AD2E-2996-4673-93A5-FBABBADBFCAD}"/>
  <tableColumns count="5">
    <tableColumn id="1" xr3:uid="{377E90C8-0A45-4737-AC04-4C7CDB0AEAE2}" name="Produto" dataDxfId="44"/>
    <tableColumn id="2" xr3:uid="{4EB804C9-8A27-4783-BD36-FB9E656AE6E9}" name="Unidade de Medida" dataDxfId="43"/>
    <tableColumn id="3" xr3:uid="{A21D3E1F-EEC0-4E4A-BE5D-F1FC07B6F8D6}" name="Estoque Mínimo" dataDxfId="42"/>
    <tableColumn id="4" xr3:uid="{56ACBABD-1CFA-40E7-BC2B-DBA4120CD2CF}" name="Custo Unitário" dataDxfId="41" dataCellStyle="Moeda"/>
    <tableColumn id="5" xr3:uid="{96CD541B-A2C4-4577-95D7-DC8135FFC00B}" name="Preço Unitário" dataDxfId="40" dataCellStyle="Moed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8CB29-2D3F-4475-8076-85314FAA5C42}" name="TB_Fornecedor" displayName="TB_Fornecedor" ref="B4:E8" totalsRowShown="0" headerRowDxfId="39" dataDxfId="38">
  <autoFilter ref="B4:E8" xr:uid="{3FE8CB29-2D3F-4475-8076-85314FAA5C42}"/>
  <tableColumns count="4">
    <tableColumn id="1" xr3:uid="{5957F8AA-CE75-4BE8-A28F-E63751C6F321}" name="Empresa" dataDxfId="37"/>
    <tableColumn id="2" xr3:uid="{714E240A-6400-4353-BAFA-98056A75BEB8}" name="Telefone" dataDxfId="36"/>
    <tableColumn id="3" xr3:uid="{83F2A368-4F63-4459-A8E0-C24478833107}" name="Responsável" dataDxfId="35"/>
    <tableColumn id="4" xr3:uid="{B26AA4D1-77D3-4E4E-8E26-1DD67159E60C}" name="E-mail" dataDxfId="34" dataCellStyle="Moed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89516-6D39-4469-A223-4B0F7168EF79}" name="TB_Entradas" displayName="TB_Entradas" ref="B4:H58" totalsRowShown="0" headerRowDxfId="33" dataDxfId="32">
  <autoFilter ref="B4:H58" xr:uid="{96889516-6D39-4469-A223-4B0F7168EF79}"/>
  <tableColumns count="7">
    <tableColumn id="7" xr3:uid="{4AF3EAC0-F872-46A1-9540-C49902B0DCA4}" name="Mês" dataDxfId="31">
      <calculatedColumnFormula>MONTH(TB_Entradas[[#This Row],[Data]])</calculatedColumnFormula>
    </tableColumn>
    <tableColumn id="1" xr3:uid="{701AD28A-1CD8-44C9-BCEB-958AEB0E91DD}" name="Data" dataDxfId="30"/>
    <tableColumn id="2" xr3:uid="{F247CE0B-0EF4-4B75-A4B5-2205D8CF8B59}" name="Produto" dataDxfId="29"/>
    <tableColumn id="3" xr3:uid="{1A5D1499-6E9D-496F-95A9-F290D6FBA0EA}" name="Fornecedor" dataDxfId="28"/>
    <tableColumn id="4" xr3:uid="{8E9FF413-1C84-4664-AA13-4DDF2E3D7D9D}" name="Quantidade Comprada" dataDxfId="27" dataCellStyle="Moeda"/>
    <tableColumn id="5" xr3:uid="{A02F7FDA-CBAC-4B18-A2AB-0654AA440E5C}" name="Custo Unitário" dataDxfId="26">
      <calculatedColumnFormula array="1">_xlfn.XLOOKUP(TB_Entradas[[#This Row],[Produto]],TB_Produtos[[#All],[Produto]],TB_Produtos[[#All],[Custo Unitário]],"Produto não Encontrado",0,1)</calculatedColumnFormula>
    </tableColumn>
    <tableColumn id="6" xr3:uid="{C58A77A0-4427-4854-BE4E-4859DEF6E459}" name="Valor da Compra" dataDxfId="25">
      <calculatedColumnFormula>IFERROR(TB_Entradas[[#This Row],[Quantidade Comprada]]*TB_Entradas[[#This Row],[Custo Unitário]],"Erro ao calcular")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A585A-A0FE-42A4-967D-5B04DAD1156E}" name="TB_Saídas" displayName="TB_Saídas" ref="B4:G61" totalsRowShown="0" headerRowDxfId="24" dataDxfId="23">
  <autoFilter ref="B4:G61" xr:uid="{586A585A-A0FE-42A4-967D-5B04DAD1156E}"/>
  <tableColumns count="6">
    <tableColumn id="7" xr3:uid="{1596BF95-EC92-45A1-A4DC-822BF85970E2}" name="Mês" dataDxfId="22" totalsRowDxfId="21">
      <calculatedColumnFormula>MONTH(TB_Saídas[[#This Row],[Data]])</calculatedColumnFormula>
    </tableColumn>
    <tableColumn id="1" xr3:uid="{B4F598A6-4052-4062-950B-44B21BB57036}" name="Data" dataDxfId="20" totalsRowDxfId="19"/>
    <tableColumn id="2" xr3:uid="{370468ED-B740-49DE-AB89-5354284A2ABF}" name="Produto" dataDxfId="18" totalsRowDxfId="17"/>
    <tableColumn id="3" xr3:uid="{BE1ABBF0-3358-4840-B3C0-322DEDC290E1}" name="Quantidade Vendida" dataDxfId="16" totalsRowDxfId="15"/>
    <tableColumn id="4" xr3:uid="{561D4B7F-EDFE-4DF1-8FB5-D94F09D99A20}" name="Preço Unitário" dataDxfId="14" totalsRowDxfId="13" dataCellStyle="Moeda" totalsRowCellStyle="Moeda">
      <calculatedColumnFormula array="1">_xlfn.XLOOKUP(TB_Saídas[[#This Row],[Produto]],TB_Produtos[[#All],[Produto]],TB_Produtos[[#All],[Preço Unitário]],"Produto não Encontrado",0,1)</calculatedColumnFormula>
    </tableColumn>
    <tableColumn id="5" xr3:uid="{E2ABB07D-4494-43CF-A1D0-BB7188F908E0}" name="Valor de Venda" dataDxfId="12" totalsRowDxfId="11">
      <calculatedColumnFormula>IFERROR(TB_Saídas[[#This Row],[Quantidade Vendida]]*TB_Saídas[[#This Row],[Preço Unitário]],"Não foi possível calcular")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EF29C-00D0-4030-B676-536CD20FE6BA}" name="TB_ControleEstoque" displayName="TB_ControleEstoque" ref="B5:J15" totalsRowShown="0" headerRowDxfId="10">
  <autoFilter ref="B5:J15" xr:uid="{347EF29C-00D0-4030-B676-536CD20FE6BA}"/>
  <tableColumns count="9">
    <tableColumn id="1" xr3:uid="{78F980A1-14CD-4F6E-AB99-C4BA00BC2581}" name="Produto"/>
    <tableColumn id="2" xr3:uid="{9FA7D6B5-DE47-4204-B1E9-DAFE01D4EAF5}" name="Entradas" dataDxfId="9">
      <calculatedColumnFormula>IFERROR(SUMIF(TB_Entradas[Produto],TB_ControleEstoque[[#This Row],[Produto]],TB_Entradas[Quantidade Comprada]),0)</calculatedColumnFormula>
    </tableColumn>
    <tableColumn id="3" xr3:uid="{04DB3B99-65C1-4C73-B7D8-37E1EF01C436}" name="Saídas " dataDxfId="8">
      <calculatedColumnFormula>IFERROR(SUMIF(TB_Saídas[Produto],TB_ControleEstoque[[#This Row],[Produto]],TB_Saídas[Quantidade Vendida]),0)</calculatedColumnFormula>
    </tableColumn>
    <tableColumn id="4" xr3:uid="{B85F1C2D-6598-4EDB-AA8B-8C804F21F72A}" name="Saldo em Estoque" dataDxfId="7">
      <calculatedColumnFormula>TB_ControleEstoque[[#This Row],[Entradas]]-TB_ControleEstoque[[#This Row],[Saídas ]]</calculatedColumnFormula>
    </tableColumn>
    <tableColumn id="5" xr3:uid="{758D7A90-134E-40AE-9F13-5CDB85014396}" name="Estoque Mínimo" dataDxfId="6">
      <calculatedColumnFormula>_xlfn.XLOOKUP(TB_ControleEstoque[[#This Row],[Produto]],TB_Produtos[Produto],TB_Produtos[Estoque Mínimo],"Erro",0,1)</calculatedColumnFormula>
    </tableColumn>
    <tableColumn id="6" xr3:uid="{4FAD9CB5-0E7D-4896-A58D-3F8ECEA4574F}" name="Status do Estoque" dataDxfId="5">
      <calculatedColumnFormula array="1">_xlfn.IFS(TB_ControleEstoque[[#This Row],[Saldo em Estoque]]&gt;TB_ControleEstoque[[#This Row],[Estoque Mínimo]],"Estoque OK",TB_ControleEstoque[[#This Row],[Saldo em Estoque]]=0,"Estoque Zerado",1,"Repor Estoque")</calculatedColumnFormula>
    </tableColumn>
    <tableColumn id="7" xr3:uid="{0A19DE5A-1DA5-4990-856A-1447B740447E}" name="Valor de Venda" dataDxfId="4">
      <calculatedColumnFormula>SUMIFS(TB_Saídas[Valor de Venda],TB_Saídas[Produto],TB_ControleEstoque[[#This Row],[Produto]])</calculatedColumnFormula>
    </tableColumn>
    <tableColumn id="8" xr3:uid="{DB00E371-8CEA-4DB3-9B0C-5445F8370CE3}" name="Custo Total" dataDxfId="3">
      <calculatedColumnFormula>SUMIFS(TB_Entradas[Valor da Compra],TB_Entradas[Produto],TB_ControleEstoque[[#This Row],[Produto]])</calculatedColumnFormula>
    </tableColumn>
    <tableColumn id="9" xr3:uid="{15E00F21-6DB5-437E-ABC8-BDF107CA8A75}" name="Lucro" dataDxfId="2">
      <calculatedColumnFormula>TB_ControleEstoque[[#This Row],[Valor de Venda]]-TB_ControleEstoque[[#This Row],[Custo Total]]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erenatto Café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13829"/>
      </a:accent1>
      <a:accent2>
        <a:srgbClr val="1A261A"/>
      </a:accent2>
      <a:accent3>
        <a:srgbClr val="B39563"/>
      </a:accent3>
      <a:accent4>
        <a:srgbClr val="787674"/>
      </a:accent4>
      <a:accent5>
        <a:srgbClr val="C9B1AC"/>
      </a:accent5>
      <a:accent6>
        <a:srgbClr val="E8D7A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@distribu&#237;doraks.com.br" TargetMode="External"/><Relationship Id="rId2" Type="http://schemas.openxmlformats.org/officeDocument/2006/relationships/hyperlink" Target="mailto:carlos@frigor&#237;ficoz.com.br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3.xml"/><Relationship Id="rId4" Type="http://schemas.openxmlformats.org/officeDocument/2006/relationships/hyperlink" Target="mailto:claudia@salgadosgran.com.b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0E9D-A9B9-46A6-9BD4-5E3AB63DF7EA}">
  <sheetPr>
    <tabColor rgb="FF313829"/>
  </sheetPr>
  <dimension ref="B1:DV48"/>
  <sheetViews>
    <sheetView showGridLines="0" zoomScale="90" zoomScaleNormal="90" workbookViewId="0">
      <selection activeCell="CQ44" sqref="CQ44"/>
    </sheetView>
  </sheetViews>
  <sheetFormatPr defaultColWidth="2.109375" defaultRowHeight="9" customHeight="1" x14ac:dyDescent="0.3"/>
  <cols>
    <col min="1" max="1" width="2.109375" customWidth="1"/>
    <col min="16" max="16" width="2.109375" customWidth="1"/>
  </cols>
  <sheetData>
    <row r="1" spans="2:99" ht="9" customHeight="1" thickBot="1" x14ac:dyDescent="0.35">
      <c r="B1" s="136" t="s">
        <v>90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47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2:99" ht="9" customHeight="1" x14ac:dyDescent="0.3"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47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F2" s="137" t="s">
        <v>91</v>
      </c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9"/>
      <c r="AU2" s="17"/>
      <c r="AX2" s="137" t="s">
        <v>92</v>
      </c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9"/>
      <c r="BM2" s="17"/>
      <c r="BP2" s="137" t="s">
        <v>93</v>
      </c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9"/>
    </row>
    <row r="3" spans="2:99" ht="9" customHeight="1" thickBot="1" x14ac:dyDescent="0.35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47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F3" s="140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2"/>
      <c r="AU3" s="17"/>
      <c r="AX3" s="140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2"/>
      <c r="BM3" s="17"/>
      <c r="BP3" s="140"/>
      <c r="BQ3" s="141"/>
      <c r="BR3" s="141"/>
      <c r="BS3" s="141"/>
      <c r="BT3" s="141"/>
      <c r="BU3" s="141"/>
      <c r="BV3" s="141"/>
      <c r="BW3" s="141"/>
      <c r="BX3" s="141"/>
      <c r="BY3" s="141"/>
      <c r="BZ3" s="141"/>
      <c r="CA3" s="141"/>
      <c r="CB3" s="141"/>
      <c r="CC3" s="141"/>
      <c r="CD3" s="142"/>
    </row>
    <row r="4" spans="2:99" ht="9" customHeight="1" x14ac:dyDescent="0.3"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47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F4" s="143">
        <f>SUM(TB_Saídas[Valor de Venda])</f>
        <v>19042.5</v>
      </c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5"/>
      <c r="AU4" s="16"/>
      <c r="AX4" s="143">
        <f>SUM(TB_Entradas[Valor da Compra])</f>
        <v>5530</v>
      </c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5"/>
      <c r="BM4" s="21"/>
      <c r="BN4" s="22"/>
      <c r="BO4" s="22"/>
      <c r="BP4" s="149">
        <f>(AF4-AX4)/AX4</f>
        <v>2.4434900542495481</v>
      </c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1"/>
    </row>
    <row r="5" spans="2:99" ht="9" customHeight="1" x14ac:dyDescent="0.3"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47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F5" s="143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5"/>
      <c r="AU5" s="16"/>
      <c r="AX5" s="143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5"/>
      <c r="BM5" s="21"/>
      <c r="BN5" s="22"/>
      <c r="BO5" s="22"/>
      <c r="BP5" s="149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1"/>
    </row>
    <row r="6" spans="2:99" ht="9" customHeigh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F6" s="143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5"/>
      <c r="AU6" s="16"/>
      <c r="AX6" s="143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5"/>
      <c r="BM6" s="21"/>
      <c r="BN6" s="22"/>
      <c r="BO6" s="22"/>
      <c r="BP6" s="149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1"/>
    </row>
    <row r="7" spans="2:99" ht="9" customHeight="1" thickBot="1" x14ac:dyDescent="0.35">
      <c r="B7" s="27"/>
      <c r="Z7" s="27"/>
      <c r="AF7" s="146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8"/>
      <c r="AU7" s="16"/>
      <c r="AX7" s="146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8"/>
      <c r="BM7" s="21"/>
      <c r="BN7" s="22"/>
      <c r="BO7" s="22"/>
      <c r="BP7" s="152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4"/>
      <c r="CE7" s="15"/>
      <c r="CF7" s="1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</row>
    <row r="8" spans="2:99" ht="9" customHeight="1" thickBot="1" x14ac:dyDescent="0.35">
      <c r="B8" s="27"/>
      <c r="C8" s="137" t="s">
        <v>94</v>
      </c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9"/>
      <c r="Z8" s="27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X8" s="26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5"/>
      <c r="CF8" s="15"/>
      <c r="CG8" s="25"/>
      <c r="CT8" s="25"/>
      <c r="CU8" s="25"/>
    </row>
    <row r="9" spans="2:99" ht="9" customHeight="1" thickBot="1" x14ac:dyDescent="0.35">
      <c r="B9" s="23"/>
      <c r="C9" s="140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2"/>
      <c r="Z9" s="23"/>
      <c r="AB9" s="137" t="s">
        <v>95</v>
      </c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9"/>
      <c r="CG9" s="14"/>
    </row>
    <row r="10" spans="2:99" ht="9" customHeight="1" thickBot="1" x14ac:dyDescent="0.35">
      <c r="B10" s="23"/>
      <c r="C10" s="155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7"/>
      <c r="Z10" s="23"/>
      <c r="AB10" s="140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2"/>
    </row>
    <row r="11" spans="2:99" ht="9" customHeight="1" x14ac:dyDescent="0.3">
      <c r="B11" s="23"/>
      <c r="C11" s="155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7"/>
      <c r="Z11" s="23"/>
      <c r="AB11" s="177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9"/>
    </row>
    <row r="12" spans="2:99" ht="9" customHeight="1" x14ac:dyDescent="0.3">
      <c r="B12" s="23"/>
      <c r="C12" s="155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  <c r="Z12" s="23"/>
      <c r="AB12" s="180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1"/>
      <c r="BV12" s="181"/>
      <c r="BW12" s="181"/>
      <c r="BX12" s="181"/>
      <c r="BY12" s="181"/>
      <c r="BZ12" s="181"/>
      <c r="CA12" s="181"/>
      <c r="CB12" s="181"/>
      <c r="CC12" s="181"/>
      <c r="CD12" s="181"/>
      <c r="CE12" s="181"/>
      <c r="CF12" s="182"/>
    </row>
    <row r="13" spans="2:99" ht="9" customHeight="1" x14ac:dyDescent="0.3">
      <c r="B13" s="23"/>
      <c r="C13" s="155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7"/>
      <c r="Z13" s="23"/>
      <c r="AA13" s="15"/>
      <c r="AB13" s="180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1"/>
      <c r="AT13" s="181"/>
      <c r="AU13" s="181"/>
      <c r="AV13" s="181"/>
      <c r="AW13" s="181"/>
      <c r="AX13" s="181"/>
      <c r="AY13" s="181"/>
      <c r="AZ13" s="181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1"/>
      <c r="BV13" s="181"/>
      <c r="BW13" s="181"/>
      <c r="BX13" s="181"/>
      <c r="BY13" s="181"/>
      <c r="BZ13" s="181"/>
      <c r="CA13" s="181"/>
      <c r="CB13" s="181"/>
      <c r="CC13" s="181"/>
      <c r="CD13" s="181"/>
      <c r="CE13" s="181"/>
      <c r="CF13" s="182"/>
    </row>
    <row r="14" spans="2:99" ht="9" customHeight="1" x14ac:dyDescent="0.3">
      <c r="C14" s="155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7"/>
      <c r="Z14" s="15"/>
      <c r="AB14" s="180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81"/>
      <c r="AY14" s="181"/>
      <c r="AZ14" s="181"/>
      <c r="BA14" s="181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81"/>
      <c r="BN14" s="181"/>
      <c r="BO14" s="181"/>
      <c r="BP14" s="181"/>
      <c r="BQ14" s="181"/>
      <c r="BR14" s="181"/>
      <c r="BS14" s="181"/>
      <c r="BT14" s="181"/>
      <c r="BU14" s="181"/>
      <c r="BV14" s="181"/>
      <c r="BW14" s="181"/>
      <c r="BX14" s="181"/>
      <c r="BY14" s="181"/>
      <c r="BZ14" s="181"/>
      <c r="CA14" s="181"/>
      <c r="CB14" s="181"/>
      <c r="CC14" s="181"/>
      <c r="CD14" s="181"/>
      <c r="CE14" s="181"/>
      <c r="CF14" s="182"/>
    </row>
    <row r="15" spans="2:99" ht="9" customHeight="1" x14ac:dyDescent="0.3">
      <c r="C15" s="155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7"/>
      <c r="Z15" s="15"/>
      <c r="AB15" s="180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181"/>
      <c r="BC15" s="181"/>
      <c r="BD15" s="181"/>
      <c r="BE15" s="181"/>
      <c r="BF15" s="181"/>
      <c r="BG15" s="181"/>
      <c r="BH15" s="181"/>
      <c r="BI15" s="181"/>
      <c r="BJ15" s="181"/>
      <c r="BK15" s="181"/>
      <c r="BL15" s="181"/>
      <c r="BM15" s="181"/>
      <c r="BN15" s="181"/>
      <c r="BO15" s="181"/>
      <c r="BP15" s="181"/>
      <c r="BQ15" s="181"/>
      <c r="BR15" s="181"/>
      <c r="BS15" s="181"/>
      <c r="BT15" s="181"/>
      <c r="BU15" s="181"/>
      <c r="BV15" s="181"/>
      <c r="BW15" s="181"/>
      <c r="BX15" s="181"/>
      <c r="BY15" s="181"/>
      <c r="BZ15" s="181"/>
      <c r="CA15" s="181"/>
      <c r="CB15" s="181"/>
      <c r="CC15" s="181"/>
      <c r="CD15" s="181"/>
      <c r="CE15" s="181"/>
      <c r="CF15" s="182"/>
    </row>
    <row r="16" spans="2:99" ht="9" customHeight="1" x14ac:dyDescent="0.3">
      <c r="C16" s="155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7"/>
      <c r="Z16" s="15"/>
      <c r="AB16" s="180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1"/>
      <c r="BV16" s="181"/>
      <c r="BW16" s="181"/>
      <c r="BX16" s="181"/>
      <c r="BY16" s="181"/>
      <c r="BZ16" s="181"/>
      <c r="CA16" s="181"/>
      <c r="CB16" s="181"/>
      <c r="CC16" s="181"/>
      <c r="CD16" s="181"/>
      <c r="CE16" s="181"/>
      <c r="CF16" s="182"/>
    </row>
    <row r="17" spans="2:84" ht="9" customHeight="1" x14ac:dyDescent="0.3">
      <c r="C17" s="155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7"/>
      <c r="Z17" s="15"/>
      <c r="AB17" s="180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1"/>
      <c r="AW17" s="181"/>
      <c r="AX17" s="181"/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  <c r="BR17" s="181"/>
      <c r="BS17" s="181"/>
      <c r="BT17" s="181"/>
      <c r="BU17" s="181"/>
      <c r="BV17" s="181"/>
      <c r="BW17" s="181"/>
      <c r="BX17" s="181"/>
      <c r="BY17" s="181"/>
      <c r="BZ17" s="181"/>
      <c r="CA17" s="181"/>
      <c r="CB17" s="181"/>
      <c r="CC17" s="181"/>
      <c r="CD17" s="181"/>
      <c r="CE17" s="181"/>
      <c r="CF17" s="182"/>
    </row>
    <row r="18" spans="2:84" ht="9" customHeight="1" x14ac:dyDescent="0.3">
      <c r="C18" s="155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7"/>
      <c r="Z18" s="15"/>
      <c r="AB18" s="180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181"/>
      <c r="BQ18" s="181"/>
      <c r="BR18" s="181"/>
      <c r="BS18" s="181"/>
      <c r="BT18" s="181"/>
      <c r="BU18" s="181"/>
      <c r="BV18" s="181"/>
      <c r="BW18" s="181"/>
      <c r="BX18" s="181"/>
      <c r="BY18" s="181"/>
      <c r="BZ18" s="181"/>
      <c r="CA18" s="181"/>
      <c r="CB18" s="181"/>
      <c r="CC18" s="181"/>
      <c r="CD18" s="181"/>
      <c r="CE18" s="181"/>
      <c r="CF18" s="182"/>
    </row>
    <row r="19" spans="2:84" ht="9" customHeight="1" x14ac:dyDescent="0.3">
      <c r="C19" s="155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7"/>
      <c r="AB19" s="180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181"/>
      <c r="BC19" s="181"/>
      <c r="BD19" s="181"/>
      <c r="BE19" s="181"/>
      <c r="BF19" s="181"/>
      <c r="BG19" s="181"/>
      <c r="BH19" s="181"/>
      <c r="BI19" s="181"/>
      <c r="BJ19" s="181"/>
      <c r="BK19" s="181"/>
      <c r="BL19" s="181"/>
      <c r="BM19" s="181"/>
      <c r="BN19" s="181"/>
      <c r="BO19" s="181"/>
      <c r="BP19" s="181"/>
      <c r="BQ19" s="181"/>
      <c r="BR19" s="181"/>
      <c r="BS19" s="181"/>
      <c r="BT19" s="181"/>
      <c r="BU19" s="181"/>
      <c r="BV19" s="181"/>
      <c r="BW19" s="181"/>
      <c r="BX19" s="181"/>
      <c r="BY19" s="181"/>
      <c r="BZ19" s="181"/>
      <c r="CA19" s="181"/>
      <c r="CB19" s="181"/>
      <c r="CC19" s="181"/>
      <c r="CD19" s="181"/>
      <c r="CE19" s="181"/>
      <c r="CF19" s="182"/>
    </row>
    <row r="20" spans="2:84" ht="9" customHeight="1" x14ac:dyDescent="0.3">
      <c r="C20" s="155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7"/>
      <c r="AB20" s="180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181"/>
      <c r="CA20" s="181"/>
      <c r="CB20" s="181"/>
      <c r="CC20" s="181"/>
      <c r="CD20" s="181"/>
      <c r="CE20" s="181"/>
      <c r="CF20" s="182"/>
    </row>
    <row r="21" spans="2:84" ht="9" customHeight="1" x14ac:dyDescent="0.3">
      <c r="C21" s="155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7"/>
      <c r="Z21" s="15"/>
      <c r="AB21" s="180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1"/>
      <c r="BV21" s="181"/>
      <c r="BW21" s="181"/>
      <c r="BX21" s="181"/>
      <c r="BY21" s="181"/>
      <c r="BZ21" s="181"/>
      <c r="CA21" s="181"/>
      <c r="CB21" s="181"/>
      <c r="CC21" s="181"/>
      <c r="CD21" s="181"/>
      <c r="CE21" s="181"/>
      <c r="CF21" s="182"/>
    </row>
    <row r="22" spans="2:84" ht="9" customHeight="1" x14ac:dyDescent="0.3"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7"/>
      <c r="Z22" s="15"/>
      <c r="AB22" s="180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1"/>
      <c r="BV22" s="181"/>
      <c r="BW22" s="181"/>
      <c r="BX22" s="181"/>
      <c r="BY22" s="181"/>
      <c r="BZ22" s="181"/>
      <c r="CA22" s="181"/>
      <c r="CB22" s="181"/>
      <c r="CC22" s="181"/>
      <c r="CD22" s="181"/>
      <c r="CE22" s="181"/>
      <c r="CF22" s="182"/>
    </row>
    <row r="23" spans="2:84" ht="9" customHeight="1" x14ac:dyDescent="0.3">
      <c r="C23" s="155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7"/>
      <c r="Z23" s="15"/>
      <c r="AB23" s="180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1"/>
      <c r="BU23" s="181"/>
      <c r="BV23" s="181"/>
      <c r="BW23" s="181"/>
      <c r="BX23" s="181"/>
      <c r="BY23" s="181"/>
      <c r="BZ23" s="181"/>
      <c r="CA23" s="181"/>
      <c r="CB23" s="181"/>
      <c r="CC23" s="181"/>
      <c r="CD23" s="181"/>
      <c r="CE23" s="181"/>
      <c r="CF23" s="182"/>
    </row>
    <row r="24" spans="2:84" ht="9" customHeight="1" x14ac:dyDescent="0.3">
      <c r="C24" s="155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7"/>
      <c r="Z24" s="15"/>
      <c r="AB24" s="180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1"/>
      <c r="BV24" s="181"/>
      <c r="BW24" s="181"/>
      <c r="BX24" s="181"/>
      <c r="BY24" s="181"/>
      <c r="BZ24" s="181"/>
      <c r="CA24" s="181"/>
      <c r="CB24" s="181"/>
      <c r="CC24" s="181"/>
      <c r="CD24" s="181"/>
      <c r="CE24" s="181"/>
      <c r="CF24" s="182"/>
    </row>
    <row r="25" spans="2:84" ht="9" customHeight="1" thickBot="1" x14ac:dyDescent="0.35">
      <c r="C25" s="155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7"/>
      <c r="Z25" s="15"/>
      <c r="AA25" s="28"/>
      <c r="AB25" s="183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4"/>
      <c r="BK25" s="184"/>
      <c r="BL25" s="184"/>
      <c r="BM25" s="184"/>
      <c r="BN25" s="184"/>
      <c r="BO25" s="184"/>
      <c r="BP25" s="184"/>
      <c r="BQ25" s="184"/>
      <c r="BR25" s="184"/>
      <c r="BS25" s="184"/>
      <c r="BT25" s="184"/>
      <c r="BU25" s="184"/>
      <c r="BV25" s="184"/>
      <c r="BW25" s="184"/>
      <c r="BX25" s="184"/>
      <c r="BY25" s="184"/>
      <c r="BZ25" s="184"/>
      <c r="CA25" s="184"/>
      <c r="CB25" s="184"/>
      <c r="CC25" s="184"/>
      <c r="CD25" s="184"/>
      <c r="CE25" s="184"/>
      <c r="CF25" s="185"/>
    </row>
    <row r="26" spans="2:84" ht="9" customHeight="1" x14ac:dyDescent="0.3">
      <c r="C26" s="155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  <c r="Z26" s="15"/>
    </row>
    <row r="27" spans="2:84" ht="9" customHeight="1" thickBot="1" x14ac:dyDescent="0.35">
      <c r="B27" s="18"/>
      <c r="C27" s="158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60"/>
      <c r="Z27" s="15"/>
    </row>
    <row r="28" spans="2:84" ht="9" customHeight="1" thickBot="1" x14ac:dyDescent="0.35">
      <c r="Z28" s="15"/>
      <c r="AB28" s="137" t="s">
        <v>96</v>
      </c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9"/>
      <c r="BO28" s="74"/>
      <c r="BP28" s="137" t="s">
        <v>97</v>
      </c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9"/>
    </row>
    <row r="29" spans="2:84" ht="9" customHeight="1" thickBot="1" x14ac:dyDescent="0.35">
      <c r="C29" s="137" t="s">
        <v>98</v>
      </c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9"/>
      <c r="AB29" s="140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2"/>
      <c r="BO29" s="74"/>
      <c r="BP29" s="140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2"/>
    </row>
    <row r="30" spans="2:84" ht="9" customHeight="1" thickBot="1" x14ac:dyDescent="0.45">
      <c r="B30" s="20"/>
      <c r="C30" s="140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2"/>
      <c r="AB30" s="99"/>
      <c r="AN30" s="195" t="s">
        <v>6</v>
      </c>
      <c r="AO30" s="196"/>
      <c r="AP30" s="196"/>
      <c r="AQ30" s="196"/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7"/>
      <c r="BC30" s="100"/>
      <c r="BN30" s="101"/>
      <c r="BP30" s="203"/>
      <c r="BQ30" s="204"/>
      <c r="BR30" s="204"/>
      <c r="BS30" s="204"/>
      <c r="BT30" s="204"/>
      <c r="BU30" s="204"/>
      <c r="BV30" s="204"/>
      <c r="BW30" s="204"/>
      <c r="BX30" s="204"/>
      <c r="BY30" s="204"/>
      <c r="BZ30" s="204"/>
      <c r="CA30" s="204"/>
      <c r="CB30" s="204"/>
      <c r="CC30" s="204"/>
      <c r="CD30" s="204"/>
      <c r="CE30" s="204"/>
      <c r="CF30" s="205"/>
    </row>
    <row r="31" spans="2:84" ht="9" customHeight="1" thickBot="1" x14ac:dyDescent="0.45">
      <c r="C31" s="162" t="s">
        <v>99</v>
      </c>
      <c r="D31" s="163"/>
      <c r="E31" s="163"/>
      <c r="F31" s="164"/>
      <c r="G31" s="171" t="str">
        <f>'Base de Cálculos'!B11</f>
        <v>Café</v>
      </c>
      <c r="H31" s="172"/>
      <c r="I31" s="172"/>
      <c r="J31" s="172"/>
      <c r="K31" s="172"/>
      <c r="L31" s="172"/>
      <c r="M31" s="172"/>
      <c r="N31" s="172"/>
      <c r="O31" s="172"/>
      <c r="P31" s="173"/>
      <c r="Q31" s="186">
        <f>'Base de Cálculos'!C11</f>
        <v>5670</v>
      </c>
      <c r="R31" s="187"/>
      <c r="S31" s="187"/>
      <c r="T31" s="187"/>
      <c r="U31" s="187"/>
      <c r="V31" s="187"/>
      <c r="W31" s="187"/>
      <c r="X31" s="187"/>
      <c r="Y31" s="188"/>
      <c r="AB31" s="99"/>
      <c r="AN31" s="198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200"/>
      <c r="BC31" s="102"/>
      <c r="BN31" s="101"/>
      <c r="BP31" s="155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7"/>
    </row>
    <row r="32" spans="2:84" ht="9" customHeight="1" x14ac:dyDescent="0.3">
      <c r="C32" s="165"/>
      <c r="D32" s="166"/>
      <c r="E32" s="166"/>
      <c r="F32" s="167"/>
      <c r="G32" s="174"/>
      <c r="H32" s="175"/>
      <c r="I32" s="175"/>
      <c r="J32" s="175"/>
      <c r="K32" s="175"/>
      <c r="L32" s="175"/>
      <c r="M32" s="175"/>
      <c r="N32" s="175"/>
      <c r="O32" s="175"/>
      <c r="P32" s="176"/>
      <c r="Q32" s="189"/>
      <c r="R32" s="190"/>
      <c r="S32" s="190"/>
      <c r="T32" s="190"/>
      <c r="U32" s="190"/>
      <c r="V32" s="190"/>
      <c r="W32" s="190"/>
      <c r="X32" s="190"/>
      <c r="Y32" s="191"/>
      <c r="AB32" s="99"/>
      <c r="BN32" s="101"/>
      <c r="BP32" s="155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56"/>
      <c r="CF32" s="157"/>
    </row>
    <row r="33" spans="2:126" ht="9" customHeight="1" thickBot="1" x14ac:dyDescent="0.35">
      <c r="C33" s="168"/>
      <c r="D33" s="169"/>
      <c r="E33" s="169"/>
      <c r="F33" s="170"/>
      <c r="G33" s="174"/>
      <c r="H33" s="175"/>
      <c r="I33" s="175"/>
      <c r="J33" s="175"/>
      <c r="K33" s="175"/>
      <c r="L33" s="175"/>
      <c r="M33" s="175"/>
      <c r="N33" s="175"/>
      <c r="O33" s="175"/>
      <c r="P33" s="176"/>
      <c r="Q33" s="192"/>
      <c r="R33" s="193"/>
      <c r="S33" s="193"/>
      <c r="T33" s="193"/>
      <c r="U33" s="193"/>
      <c r="V33" s="193"/>
      <c r="W33" s="193"/>
      <c r="X33" s="193"/>
      <c r="Y33" s="194"/>
      <c r="AB33" s="99"/>
      <c r="BN33" s="101"/>
      <c r="BP33" s="155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7"/>
    </row>
    <row r="34" spans="2:126" ht="9" customHeight="1" thickTop="1" x14ac:dyDescent="0.3">
      <c r="C34" s="207" t="s">
        <v>100</v>
      </c>
      <c r="D34" s="208"/>
      <c r="E34" s="208"/>
      <c r="F34" s="208"/>
      <c r="G34" s="211" t="str">
        <f>'Base de Cálculos'!B12</f>
        <v>Chocolate Quente</v>
      </c>
      <c r="H34" s="212"/>
      <c r="I34" s="212"/>
      <c r="J34" s="212"/>
      <c r="K34" s="212"/>
      <c r="L34" s="212"/>
      <c r="M34" s="212"/>
      <c r="N34" s="212"/>
      <c r="O34" s="212"/>
      <c r="P34" s="213"/>
      <c r="Q34" s="217">
        <f>'Base de Cálculos'!C12</f>
        <v>4250</v>
      </c>
      <c r="R34" s="218"/>
      <c r="S34" s="218"/>
      <c r="T34" s="218"/>
      <c r="U34" s="218"/>
      <c r="V34" s="218"/>
      <c r="W34" s="218"/>
      <c r="X34" s="218"/>
      <c r="Y34" s="219"/>
      <c r="Z34" s="18"/>
      <c r="AB34" s="99"/>
      <c r="BN34" s="101"/>
      <c r="BP34" s="155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7"/>
    </row>
    <row r="35" spans="2:126" ht="9" customHeight="1" x14ac:dyDescent="0.3">
      <c r="B35" s="18"/>
      <c r="C35" s="165"/>
      <c r="D35" s="166"/>
      <c r="E35" s="166"/>
      <c r="F35" s="166"/>
      <c r="G35" s="174"/>
      <c r="H35" s="175"/>
      <c r="I35" s="175"/>
      <c r="J35" s="175"/>
      <c r="K35" s="175"/>
      <c r="L35" s="175"/>
      <c r="M35" s="175"/>
      <c r="N35" s="175"/>
      <c r="O35" s="175"/>
      <c r="P35" s="176"/>
      <c r="Q35" s="189"/>
      <c r="R35" s="190"/>
      <c r="S35" s="190"/>
      <c r="T35" s="190"/>
      <c r="U35" s="190"/>
      <c r="V35" s="190"/>
      <c r="W35" s="190"/>
      <c r="X35" s="190"/>
      <c r="Y35" s="191"/>
      <c r="Z35" s="19"/>
      <c r="AA35" s="19"/>
      <c r="AB35" s="99"/>
      <c r="BN35" s="101"/>
      <c r="BP35" s="155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7"/>
    </row>
    <row r="36" spans="2:126" ht="9" customHeight="1" thickBot="1" x14ac:dyDescent="0.35">
      <c r="C36" s="168"/>
      <c r="D36" s="169"/>
      <c r="E36" s="169"/>
      <c r="F36" s="169"/>
      <c r="G36" s="223"/>
      <c r="H36" s="224"/>
      <c r="I36" s="224"/>
      <c r="J36" s="224"/>
      <c r="K36" s="224"/>
      <c r="L36" s="224"/>
      <c r="M36" s="224"/>
      <c r="N36" s="224"/>
      <c r="O36" s="224"/>
      <c r="P36" s="225"/>
      <c r="Q36" s="192"/>
      <c r="R36" s="193"/>
      <c r="S36" s="193"/>
      <c r="T36" s="193"/>
      <c r="U36" s="193"/>
      <c r="V36" s="193"/>
      <c r="W36" s="193"/>
      <c r="X36" s="193"/>
      <c r="Y36" s="194"/>
      <c r="Z36" s="19"/>
      <c r="AA36" s="19"/>
      <c r="AB36" s="99"/>
      <c r="BN36" s="101"/>
      <c r="BP36" s="155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/>
      <c r="CE36" s="156"/>
      <c r="CF36" s="157"/>
    </row>
    <row r="37" spans="2:126" ht="9" customHeight="1" thickTop="1" x14ac:dyDescent="0.3">
      <c r="C37" s="207" t="s">
        <v>101</v>
      </c>
      <c r="D37" s="208"/>
      <c r="E37" s="208"/>
      <c r="F37" s="208"/>
      <c r="G37" s="211" t="str">
        <f>'Base de Cálculos'!B13</f>
        <v>Pão de Queijo</v>
      </c>
      <c r="H37" s="212"/>
      <c r="I37" s="212"/>
      <c r="J37" s="212"/>
      <c r="K37" s="212"/>
      <c r="L37" s="212"/>
      <c r="M37" s="212"/>
      <c r="N37" s="212"/>
      <c r="O37" s="212"/>
      <c r="P37" s="213"/>
      <c r="Q37" s="217">
        <f>'Base de Cálculos'!C13</f>
        <v>3000</v>
      </c>
      <c r="R37" s="218"/>
      <c r="S37" s="218"/>
      <c r="T37" s="218"/>
      <c r="U37" s="218"/>
      <c r="V37" s="218"/>
      <c r="W37" s="218"/>
      <c r="X37" s="218"/>
      <c r="Y37" s="219"/>
      <c r="Z37" s="206"/>
      <c r="AB37" s="99"/>
      <c r="BN37" s="101"/>
      <c r="BP37" s="155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7"/>
    </row>
    <row r="38" spans="2:126" ht="9" customHeight="1" x14ac:dyDescent="0.3">
      <c r="C38" s="165"/>
      <c r="D38" s="166"/>
      <c r="E38" s="166"/>
      <c r="F38" s="166"/>
      <c r="G38" s="174"/>
      <c r="H38" s="175"/>
      <c r="I38" s="175"/>
      <c r="J38" s="175"/>
      <c r="K38" s="175"/>
      <c r="L38" s="175"/>
      <c r="M38" s="175"/>
      <c r="N38" s="175"/>
      <c r="O38" s="175"/>
      <c r="P38" s="176"/>
      <c r="Q38" s="189"/>
      <c r="R38" s="190"/>
      <c r="S38" s="190"/>
      <c r="T38" s="190"/>
      <c r="U38" s="190"/>
      <c r="V38" s="190"/>
      <c r="W38" s="190"/>
      <c r="X38" s="190"/>
      <c r="Y38" s="191"/>
      <c r="Z38" s="206"/>
      <c r="AB38" s="99"/>
      <c r="BN38" s="101"/>
      <c r="BP38" s="155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56"/>
      <c r="CB38" s="156"/>
      <c r="CC38" s="156"/>
      <c r="CD38" s="156"/>
      <c r="CE38" s="156"/>
      <c r="CF38" s="157"/>
    </row>
    <row r="39" spans="2:126" ht="9" customHeight="1" thickBot="1" x14ac:dyDescent="0.35">
      <c r="C39" s="168"/>
      <c r="D39" s="169"/>
      <c r="E39" s="169"/>
      <c r="F39" s="169"/>
      <c r="G39" s="223"/>
      <c r="H39" s="224"/>
      <c r="I39" s="224"/>
      <c r="J39" s="224"/>
      <c r="K39" s="224"/>
      <c r="L39" s="224"/>
      <c r="M39" s="224"/>
      <c r="N39" s="224"/>
      <c r="O39" s="224"/>
      <c r="P39" s="225"/>
      <c r="Q39" s="192"/>
      <c r="R39" s="193"/>
      <c r="S39" s="193"/>
      <c r="T39" s="193"/>
      <c r="U39" s="193"/>
      <c r="V39" s="193"/>
      <c r="W39" s="193"/>
      <c r="X39" s="193"/>
      <c r="Y39" s="194"/>
      <c r="Z39" s="206"/>
      <c r="AB39" s="99"/>
      <c r="BN39" s="101"/>
      <c r="BP39" s="155"/>
      <c r="BQ39" s="156"/>
      <c r="BR39" s="156"/>
      <c r="BS39" s="156"/>
      <c r="BT39" s="156"/>
      <c r="BU39" s="156"/>
      <c r="BV39" s="156"/>
      <c r="BW39" s="156"/>
      <c r="BX39" s="156"/>
      <c r="BY39" s="156"/>
      <c r="BZ39" s="156"/>
      <c r="CA39" s="156"/>
      <c r="CB39" s="156"/>
      <c r="CC39" s="156"/>
      <c r="CD39" s="156"/>
      <c r="CE39" s="156"/>
      <c r="CF39" s="157"/>
    </row>
    <row r="40" spans="2:126" ht="9" customHeight="1" thickTop="1" x14ac:dyDescent="0.3">
      <c r="C40" s="207" t="s">
        <v>102</v>
      </c>
      <c r="D40" s="208"/>
      <c r="E40" s="208"/>
      <c r="F40" s="208"/>
      <c r="G40" s="211" t="str">
        <f>'Base de Cálculos'!B14</f>
        <v>Refrigerante</v>
      </c>
      <c r="H40" s="212"/>
      <c r="I40" s="212"/>
      <c r="J40" s="212"/>
      <c r="K40" s="212"/>
      <c r="L40" s="212"/>
      <c r="M40" s="212"/>
      <c r="N40" s="212"/>
      <c r="O40" s="212"/>
      <c r="P40" s="213"/>
      <c r="Q40" s="217">
        <f>'Base de Cálculos'!C14</f>
        <v>1680</v>
      </c>
      <c r="R40" s="218"/>
      <c r="S40" s="218"/>
      <c r="T40" s="218"/>
      <c r="U40" s="218"/>
      <c r="V40" s="218"/>
      <c r="W40" s="218"/>
      <c r="X40" s="218"/>
      <c r="Y40" s="219"/>
      <c r="Z40" s="206"/>
      <c r="AB40" s="99"/>
      <c r="BN40" s="101"/>
      <c r="BP40" s="155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56"/>
      <c r="CB40" s="156"/>
      <c r="CC40" s="156"/>
      <c r="CD40" s="156"/>
      <c r="CE40" s="156"/>
      <c r="CF40" s="157"/>
    </row>
    <row r="41" spans="2:126" ht="9" customHeight="1" x14ac:dyDescent="0.3">
      <c r="C41" s="165"/>
      <c r="D41" s="166"/>
      <c r="E41" s="166"/>
      <c r="F41" s="166"/>
      <c r="G41" s="174"/>
      <c r="H41" s="175"/>
      <c r="I41" s="175"/>
      <c r="J41" s="175"/>
      <c r="K41" s="175"/>
      <c r="L41" s="175"/>
      <c r="M41" s="175"/>
      <c r="N41" s="175"/>
      <c r="O41" s="175"/>
      <c r="P41" s="176"/>
      <c r="Q41" s="189"/>
      <c r="R41" s="190"/>
      <c r="S41" s="190"/>
      <c r="T41" s="190"/>
      <c r="U41" s="190"/>
      <c r="V41" s="190"/>
      <c r="W41" s="190"/>
      <c r="X41" s="190"/>
      <c r="Y41" s="191"/>
      <c r="Z41" s="206"/>
      <c r="AB41" s="99"/>
      <c r="BN41" s="101"/>
      <c r="BP41" s="155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7"/>
    </row>
    <row r="42" spans="2:126" ht="9" customHeight="1" thickBot="1" x14ac:dyDescent="0.35">
      <c r="C42" s="168"/>
      <c r="D42" s="169"/>
      <c r="E42" s="169"/>
      <c r="F42" s="169"/>
      <c r="G42" s="223"/>
      <c r="H42" s="224"/>
      <c r="I42" s="224"/>
      <c r="J42" s="224"/>
      <c r="K42" s="224"/>
      <c r="L42" s="224"/>
      <c r="M42" s="224"/>
      <c r="N42" s="224"/>
      <c r="O42" s="224"/>
      <c r="P42" s="225"/>
      <c r="Q42" s="192"/>
      <c r="R42" s="193"/>
      <c r="S42" s="193"/>
      <c r="T42" s="193"/>
      <c r="U42" s="193"/>
      <c r="V42" s="193"/>
      <c r="W42" s="193"/>
      <c r="X42" s="193"/>
      <c r="Y42" s="194"/>
      <c r="Z42" s="206"/>
      <c r="AB42" s="99"/>
      <c r="BN42" s="101"/>
      <c r="BP42" s="155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56"/>
      <c r="CB42" s="156"/>
      <c r="CC42" s="156"/>
      <c r="CD42" s="156"/>
      <c r="CE42" s="156"/>
      <c r="CF42" s="157"/>
    </row>
    <row r="43" spans="2:126" ht="9" customHeight="1" thickTop="1" x14ac:dyDescent="0.3">
      <c r="C43" s="207" t="s">
        <v>103</v>
      </c>
      <c r="D43" s="208"/>
      <c r="E43" s="208"/>
      <c r="F43" s="208"/>
      <c r="G43" s="211" t="str">
        <f>'Base de Cálculos'!B15</f>
        <v>Coxinha</v>
      </c>
      <c r="H43" s="212"/>
      <c r="I43" s="212"/>
      <c r="J43" s="212"/>
      <c r="K43" s="212"/>
      <c r="L43" s="212"/>
      <c r="M43" s="212"/>
      <c r="N43" s="212"/>
      <c r="O43" s="212"/>
      <c r="P43" s="213"/>
      <c r="Q43" s="217">
        <f>'Base de Cálculos'!C15</f>
        <v>1592.5</v>
      </c>
      <c r="R43" s="218"/>
      <c r="S43" s="218"/>
      <c r="T43" s="218"/>
      <c r="U43" s="218"/>
      <c r="V43" s="218"/>
      <c r="W43" s="218"/>
      <c r="X43" s="218"/>
      <c r="Y43" s="219"/>
      <c r="Z43" s="206"/>
      <c r="AB43" s="99"/>
      <c r="BN43" s="101"/>
      <c r="BP43" s="155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56"/>
      <c r="CD43" s="156"/>
      <c r="CE43" s="156"/>
      <c r="CF43" s="157"/>
    </row>
    <row r="44" spans="2:126" ht="9" customHeight="1" x14ac:dyDescent="0.3">
      <c r="C44" s="165"/>
      <c r="D44" s="166"/>
      <c r="E44" s="166"/>
      <c r="F44" s="166"/>
      <c r="G44" s="174"/>
      <c r="H44" s="175"/>
      <c r="I44" s="175"/>
      <c r="J44" s="175"/>
      <c r="K44" s="175"/>
      <c r="L44" s="175"/>
      <c r="M44" s="175"/>
      <c r="N44" s="175"/>
      <c r="O44" s="175"/>
      <c r="P44" s="176"/>
      <c r="Q44" s="189"/>
      <c r="R44" s="190"/>
      <c r="S44" s="190"/>
      <c r="T44" s="190"/>
      <c r="U44" s="190"/>
      <c r="V44" s="190"/>
      <c r="W44" s="190"/>
      <c r="X44" s="190"/>
      <c r="Y44" s="191"/>
      <c r="Z44" s="206"/>
      <c r="AB44" s="99"/>
      <c r="BN44" s="101"/>
      <c r="BP44" s="155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7"/>
    </row>
    <row r="45" spans="2:126" ht="9" customHeight="1" thickBot="1" x14ac:dyDescent="0.35">
      <c r="C45" s="209"/>
      <c r="D45" s="210"/>
      <c r="E45" s="210"/>
      <c r="F45" s="210"/>
      <c r="G45" s="214"/>
      <c r="H45" s="215"/>
      <c r="I45" s="215"/>
      <c r="J45" s="215"/>
      <c r="K45" s="215"/>
      <c r="L45" s="215"/>
      <c r="M45" s="215"/>
      <c r="N45" s="215"/>
      <c r="O45" s="215"/>
      <c r="P45" s="216"/>
      <c r="Q45" s="220"/>
      <c r="R45" s="221"/>
      <c r="S45" s="221"/>
      <c r="T45" s="221"/>
      <c r="U45" s="221"/>
      <c r="V45" s="221"/>
      <c r="W45" s="221"/>
      <c r="X45" s="221"/>
      <c r="Y45" s="222"/>
      <c r="AB45" s="103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5"/>
      <c r="BP45" s="158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59"/>
      <c r="CB45" s="159"/>
      <c r="CC45" s="159"/>
      <c r="CD45" s="159"/>
      <c r="CE45" s="159"/>
      <c r="CF45" s="160"/>
    </row>
    <row r="46" spans="2:126" ht="9" customHeight="1" x14ac:dyDescent="0.3">
      <c r="DJ46" s="201"/>
      <c r="DK46" s="201"/>
      <c r="DL46" s="201"/>
      <c r="DM46" s="201"/>
      <c r="DN46" s="201"/>
      <c r="DO46" s="201"/>
      <c r="DP46" s="201"/>
      <c r="DQ46" s="201"/>
      <c r="DR46" s="201"/>
      <c r="DS46" s="201"/>
      <c r="DT46" s="201"/>
      <c r="DU46" s="201"/>
      <c r="DV46" s="201"/>
    </row>
    <row r="47" spans="2:126" ht="9" customHeight="1" x14ac:dyDescent="0.3">
      <c r="DJ47" s="201"/>
      <c r="DK47" s="201"/>
      <c r="DL47" s="201"/>
      <c r="DM47" s="201"/>
      <c r="DN47" s="201"/>
      <c r="DO47" s="201"/>
      <c r="DP47" s="201"/>
      <c r="DQ47" s="201"/>
      <c r="DR47" s="201"/>
      <c r="DS47" s="201"/>
      <c r="DT47" s="201"/>
      <c r="DU47" s="201"/>
      <c r="DV47" s="201"/>
    </row>
    <row r="48" spans="2:126" ht="9" customHeight="1" x14ac:dyDescent="0.3">
      <c r="DJ48" s="202"/>
      <c r="DK48" s="202"/>
      <c r="DL48" s="202"/>
      <c r="DM48" s="202"/>
      <c r="DN48" s="202"/>
      <c r="DO48" s="202"/>
      <c r="DP48" s="202"/>
      <c r="DQ48" s="202"/>
      <c r="DR48" s="202"/>
      <c r="DS48" s="202"/>
      <c r="DT48" s="202"/>
      <c r="DU48" s="202"/>
      <c r="DV48" s="202"/>
    </row>
  </sheetData>
  <mergeCells count="37">
    <mergeCell ref="C34:F36"/>
    <mergeCell ref="G34:P36"/>
    <mergeCell ref="Q34:Y36"/>
    <mergeCell ref="C37:F39"/>
    <mergeCell ref="G37:P39"/>
    <mergeCell ref="Q37:Y39"/>
    <mergeCell ref="C43:F45"/>
    <mergeCell ref="G43:P45"/>
    <mergeCell ref="Q43:Y45"/>
    <mergeCell ref="Z43:Z44"/>
    <mergeCell ref="C40:F42"/>
    <mergeCell ref="G40:P42"/>
    <mergeCell ref="Q40:Y42"/>
    <mergeCell ref="DJ46:DV47"/>
    <mergeCell ref="DJ48:DV48"/>
    <mergeCell ref="BP30:CF45"/>
    <mergeCell ref="Z37:Z38"/>
    <mergeCell ref="Z39:Z40"/>
    <mergeCell ref="Z41:Z42"/>
    <mergeCell ref="C31:F33"/>
    <mergeCell ref="G31:P33"/>
    <mergeCell ref="AB11:CF25"/>
    <mergeCell ref="Q31:Y33"/>
    <mergeCell ref="AN30:BB31"/>
    <mergeCell ref="C8:Y9"/>
    <mergeCell ref="AB9:CF10"/>
    <mergeCell ref="C10:Y27"/>
    <mergeCell ref="AB28:BN29"/>
    <mergeCell ref="BP28:CF29"/>
    <mergeCell ref="C29:Y30"/>
    <mergeCell ref="B1:O5"/>
    <mergeCell ref="AF2:AT3"/>
    <mergeCell ref="AX2:BL3"/>
    <mergeCell ref="BP2:CD3"/>
    <mergeCell ref="AF4:AT7"/>
    <mergeCell ref="AX4:BL7"/>
    <mergeCell ref="BP4:CD7"/>
  </mergeCells>
  <dataValidations count="1">
    <dataValidation type="list" allowBlank="1" showInputMessage="1" showErrorMessage="1" sqref="AN30:BB31" xr:uid="{5A94D5C9-070D-4190-A8C1-B4EC3DF872FF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C56-36B7-4ACB-9B81-325E71099216}">
  <sheetPr>
    <tabColor rgb="FFB39563"/>
  </sheetPr>
  <dimension ref="B1:I31"/>
  <sheetViews>
    <sheetView showGridLines="0" zoomScaleNormal="100" workbookViewId="0">
      <pane ySplit="4" topLeftCell="A5" activePane="bottomLeft" state="frozen"/>
      <selection pane="bottomLeft" activeCell="I21" sqref="I21"/>
    </sheetView>
  </sheetViews>
  <sheetFormatPr defaultColWidth="9.109375" defaultRowHeight="14.4" x14ac:dyDescent="0.3"/>
  <cols>
    <col min="1" max="1" width="5.33203125" customWidth="1"/>
    <col min="2" max="2" width="16.33203125" bestFit="1" customWidth="1"/>
    <col min="3" max="3" width="22.5546875" bestFit="1" customWidth="1"/>
    <col min="4" max="4" width="19.6640625" bestFit="1" customWidth="1"/>
    <col min="5" max="5" width="18.44140625" customWidth="1"/>
    <col min="6" max="6" width="20.44140625" style="1" customWidth="1"/>
    <col min="8" max="8" width="13.5546875" customWidth="1"/>
    <col min="9" max="9" width="15.33203125" customWidth="1"/>
  </cols>
  <sheetData>
    <row r="1" spans="2:9" s="29" customFormat="1" ht="60" customHeight="1" x14ac:dyDescent="0.3">
      <c r="D1" s="37" t="s">
        <v>0</v>
      </c>
      <c r="E1" s="38"/>
    </row>
    <row r="2" spans="2:9" s="32" customFormat="1" ht="6" customHeight="1" x14ac:dyDescent="0.3">
      <c r="F2" s="33"/>
    </row>
    <row r="3" spans="2:9" ht="6" customHeight="1" x14ac:dyDescent="0.3"/>
    <row r="4" spans="2:9" x14ac:dyDescent="0.3">
      <c r="B4" s="129" t="s">
        <v>1</v>
      </c>
      <c r="C4" s="129" t="s">
        <v>2</v>
      </c>
      <c r="D4" s="129" t="s">
        <v>3</v>
      </c>
      <c r="E4" s="129" t="s">
        <v>4</v>
      </c>
      <c r="F4" s="129" t="s">
        <v>5</v>
      </c>
    </row>
    <row r="5" spans="2:9" ht="16.2" x14ac:dyDescent="0.35">
      <c r="B5" s="34" t="s">
        <v>6</v>
      </c>
      <c r="C5" s="35" t="s">
        <v>7</v>
      </c>
      <c r="D5" s="35">
        <v>50</v>
      </c>
      <c r="E5" s="36">
        <v>2</v>
      </c>
      <c r="F5" s="36">
        <v>6</v>
      </c>
      <c r="G5" s="3"/>
      <c r="H5" s="3"/>
    </row>
    <row r="6" spans="2:9" ht="16.2" x14ac:dyDescent="0.35">
      <c r="B6" s="34" t="s">
        <v>8</v>
      </c>
      <c r="C6" s="35" t="s">
        <v>9</v>
      </c>
      <c r="D6" s="35">
        <v>5</v>
      </c>
      <c r="E6" s="36">
        <v>1.5</v>
      </c>
      <c r="F6" s="36">
        <v>3</v>
      </c>
      <c r="H6" s="3"/>
    </row>
    <row r="7" spans="2:9" ht="16.2" x14ac:dyDescent="0.35">
      <c r="B7" s="34" t="s">
        <v>10</v>
      </c>
      <c r="C7" s="35" t="s">
        <v>9</v>
      </c>
      <c r="D7" s="35">
        <v>50</v>
      </c>
      <c r="E7" s="36">
        <v>0.5</v>
      </c>
      <c r="F7" s="36">
        <v>6.5</v>
      </c>
      <c r="H7" s="3"/>
    </row>
    <row r="8" spans="2:9" ht="16.2" x14ac:dyDescent="0.35">
      <c r="B8" s="34" t="s">
        <v>11</v>
      </c>
      <c r="C8" s="35" t="s">
        <v>9</v>
      </c>
      <c r="D8" s="35">
        <v>50</v>
      </c>
      <c r="E8" s="36">
        <v>1</v>
      </c>
      <c r="F8" s="36">
        <v>4.5</v>
      </c>
      <c r="H8" s="3"/>
    </row>
    <row r="9" spans="2:9" ht="16.2" x14ac:dyDescent="0.35">
      <c r="B9" s="34" t="s">
        <v>12</v>
      </c>
      <c r="C9" s="35" t="s">
        <v>9</v>
      </c>
      <c r="D9" s="35">
        <v>50</v>
      </c>
      <c r="E9" s="36">
        <v>1</v>
      </c>
      <c r="F9" s="36">
        <v>4</v>
      </c>
      <c r="H9" s="3"/>
      <c r="I9" s="10"/>
    </row>
    <row r="10" spans="2:9" ht="16.2" x14ac:dyDescent="0.35">
      <c r="B10" s="34" t="s">
        <v>13</v>
      </c>
      <c r="C10" s="35" t="s">
        <v>9</v>
      </c>
      <c r="D10" s="35">
        <v>50</v>
      </c>
      <c r="E10" s="36">
        <v>1</v>
      </c>
      <c r="F10" s="36">
        <v>4</v>
      </c>
    </row>
    <row r="11" spans="2:9" ht="16.2" x14ac:dyDescent="0.35">
      <c r="B11" s="34" t="s">
        <v>14</v>
      </c>
      <c r="C11" s="35" t="s">
        <v>9</v>
      </c>
      <c r="D11" s="35">
        <v>50</v>
      </c>
      <c r="E11" s="36">
        <v>0.5</v>
      </c>
      <c r="F11" s="36">
        <v>4</v>
      </c>
    </row>
    <row r="12" spans="2:9" ht="16.2" x14ac:dyDescent="0.35">
      <c r="B12" s="34" t="s">
        <v>15</v>
      </c>
      <c r="C12" s="35" t="s">
        <v>16</v>
      </c>
      <c r="D12" s="35">
        <v>15</v>
      </c>
      <c r="E12" s="36">
        <v>0.5</v>
      </c>
      <c r="F12" s="36">
        <v>2</v>
      </c>
    </row>
    <row r="13" spans="2:9" ht="16.2" x14ac:dyDescent="0.35">
      <c r="B13" s="34" t="s">
        <v>17</v>
      </c>
      <c r="C13" s="35" t="s">
        <v>16</v>
      </c>
      <c r="D13" s="35">
        <v>15</v>
      </c>
      <c r="E13" s="36">
        <v>0.25</v>
      </c>
      <c r="F13" s="36">
        <v>1</v>
      </c>
    </row>
    <row r="14" spans="2:9" ht="16.2" x14ac:dyDescent="0.35">
      <c r="B14" s="34" t="s">
        <v>18</v>
      </c>
      <c r="C14" s="35" t="s">
        <v>16</v>
      </c>
      <c r="D14" s="35">
        <v>15</v>
      </c>
      <c r="E14" s="36">
        <v>0.25</v>
      </c>
      <c r="F14" s="36">
        <v>1</v>
      </c>
    </row>
    <row r="15" spans="2:9" ht="16.2" x14ac:dyDescent="0.35">
      <c r="B15" s="34" t="s">
        <v>19</v>
      </c>
      <c r="C15" s="35" t="s">
        <v>20</v>
      </c>
      <c r="D15" s="35">
        <v>10</v>
      </c>
      <c r="E15" s="36">
        <v>0.25</v>
      </c>
      <c r="F15" s="36">
        <v>8.5</v>
      </c>
    </row>
    <row r="16" spans="2:9" ht="16.2" x14ac:dyDescent="0.35">
      <c r="B16" s="34" t="s">
        <v>21</v>
      </c>
      <c r="C16" s="35" t="s">
        <v>20</v>
      </c>
      <c r="D16" s="35">
        <v>12</v>
      </c>
      <c r="E16" s="36">
        <v>10</v>
      </c>
      <c r="F16" s="36">
        <v>5</v>
      </c>
    </row>
    <row r="17" spans="2:6" ht="16.2" x14ac:dyDescent="0.35">
      <c r="B17" s="34" t="s">
        <v>22</v>
      </c>
      <c r="C17" s="35" t="s">
        <v>9</v>
      </c>
      <c r="D17" s="35">
        <v>4</v>
      </c>
      <c r="E17" s="36">
        <v>2</v>
      </c>
      <c r="F17" s="36">
        <v>2</v>
      </c>
    </row>
    <row r="18" spans="2:6" x14ac:dyDescent="0.3">
      <c r="B18" s="34" t="s">
        <v>23</v>
      </c>
      <c r="C18" s="35" t="s">
        <v>16</v>
      </c>
      <c r="D18" s="35">
        <v>10</v>
      </c>
      <c r="E18" s="36">
        <v>1</v>
      </c>
      <c r="F18" s="36">
        <v>5</v>
      </c>
    </row>
    <row r="19" spans="2:6" x14ac:dyDescent="0.3">
      <c r="B19" s="34" t="s">
        <v>24</v>
      </c>
      <c r="C19" s="35" t="s">
        <v>16</v>
      </c>
      <c r="D19" s="35">
        <v>2</v>
      </c>
      <c r="E19" s="36">
        <v>0.75</v>
      </c>
      <c r="F19" s="36">
        <v>1.5</v>
      </c>
    </row>
    <row r="20" spans="2:6" ht="16.2" x14ac:dyDescent="0.35">
      <c r="B20" s="34" t="s">
        <v>25</v>
      </c>
      <c r="C20" s="35" t="s">
        <v>9</v>
      </c>
      <c r="D20" s="35">
        <v>10</v>
      </c>
      <c r="E20" s="36">
        <v>0.25</v>
      </c>
      <c r="F20" s="36">
        <v>7.5</v>
      </c>
    </row>
    <row r="21" spans="2:6" x14ac:dyDescent="0.3">
      <c r="B21" s="34" t="s">
        <v>26</v>
      </c>
      <c r="C21" s="35" t="s">
        <v>16</v>
      </c>
      <c r="D21" s="35">
        <v>5</v>
      </c>
      <c r="E21" s="36">
        <v>0.75</v>
      </c>
      <c r="F21" s="36">
        <v>10</v>
      </c>
    </row>
    <row r="22" spans="2:6" x14ac:dyDescent="0.3">
      <c r="B22" s="34" t="s">
        <v>27</v>
      </c>
      <c r="C22" s="35" t="s">
        <v>9</v>
      </c>
      <c r="D22" s="35">
        <v>2</v>
      </c>
      <c r="E22" s="36">
        <v>8</v>
      </c>
      <c r="F22" s="36">
        <v>15</v>
      </c>
    </row>
    <row r="23" spans="2:6" x14ac:dyDescent="0.3">
      <c r="B23" s="34" t="s">
        <v>28</v>
      </c>
      <c r="C23" s="35" t="s">
        <v>9</v>
      </c>
      <c r="D23" s="35">
        <v>2</v>
      </c>
      <c r="E23" s="36">
        <v>4.5</v>
      </c>
      <c r="F23" s="36">
        <v>15</v>
      </c>
    </row>
    <row r="24" spans="2:6" ht="16.2" x14ac:dyDescent="0.35">
      <c r="B24" s="34" t="s">
        <v>29</v>
      </c>
      <c r="C24" s="35" t="s">
        <v>30</v>
      </c>
      <c r="D24" s="35">
        <v>5</v>
      </c>
      <c r="E24" s="36">
        <v>0.25</v>
      </c>
      <c r="F24" s="36">
        <v>2</v>
      </c>
    </row>
    <row r="25" spans="2:6" x14ac:dyDescent="0.3">
      <c r="B25" s="34" t="s">
        <v>31</v>
      </c>
      <c r="C25" s="35" t="s">
        <v>30</v>
      </c>
      <c r="D25" s="35">
        <v>5</v>
      </c>
      <c r="E25" s="36">
        <v>0.75</v>
      </c>
      <c r="F25" s="36">
        <v>8</v>
      </c>
    </row>
    <row r="26" spans="2:6" x14ac:dyDescent="0.3">
      <c r="B26" s="34" t="s">
        <v>32</v>
      </c>
      <c r="C26" s="35" t="s">
        <v>9</v>
      </c>
      <c r="D26" s="35">
        <v>2</v>
      </c>
      <c r="E26" s="36">
        <v>1</v>
      </c>
      <c r="F26" s="36">
        <v>3</v>
      </c>
    </row>
    <row r="27" spans="2:6" x14ac:dyDescent="0.3">
      <c r="B27" s="34" t="s">
        <v>33</v>
      </c>
      <c r="C27" s="35" t="s">
        <v>9</v>
      </c>
      <c r="D27" s="35">
        <v>2</v>
      </c>
      <c r="E27" s="36">
        <v>2.5</v>
      </c>
      <c r="F27" s="36">
        <v>3.5</v>
      </c>
    </row>
    <row r="28" spans="2:6" x14ac:dyDescent="0.3">
      <c r="B28" s="34" t="s">
        <v>34</v>
      </c>
      <c r="C28" s="35" t="s">
        <v>9</v>
      </c>
      <c r="D28" s="35">
        <v>2</v>
      </c>
      <c r="E28" s="36">
        <v>1.5</v>
      </c>
      <c r="F28" s="36">
        <v>3</v>
      </c>
    </row>
    <row r="29" spans="2:6" x14ac:dyDescent="0.3">
      <c r="B29" s="34" t="s">
        <v>35</v>
      </c>
      <c r="C29" s="35" t="s">
        <v>9</v>
      </c>
      <c r="D29" s="35">
        <v>2</v>
      </c>
      <c r="E29" s="36">
        <v>3</v>
      </c>
      <c r="F29" s="36">
        <v>4.5</v>
      </c>
    </row>
    <row r="30" spans="2:6" x14ac:dyDescent="0.3">
      <c r="B30" s="34" t="s">
        <v>36</v>
      </c>
      <c r="C30" s="35" t="s">
        <v>16</v>
      </c>
      <c r="D30" s="35">
        <v>10</v>
      </c>
      <c r="E30" s="36">
        <v>2</v>
      </c>
      <c r="F30" s="36">
        <v>8</v>
      </c>
    </row>
    <row r="31" spans="2:6" x14ac:dyDescent="0.3">
      <c r="B31" s="34" t="s">
        <v>37</v>
      </c>
      <c r="C31" s="35" t="s">
        <v>9</v>
      </c>
      <c r="D31" s="35">
        <v>10</v>
      </c>
      <c r="E31" s="36">
        <v>0.25</v>
      </c>
      <c r="F31" s="36">
        <v>5</v>
      </c>
    </row>
  </sheetData>
  <dataValidations count="1">
    <dataValidation type="custom" allowBlank="1" showInputMessage="1" showErrorMessage="1" errorTitle="Produto Duplicado" error="Não é permitido cadastrar dois produtos com mesmo nome na base de dados!" sqref="B5:B31" xr:uid="{6FD65472-361F-4C37-92CC-80C66E375847}">
      <formula1>COUNTIF(Lista_Produtos,B5)&lt;=1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1B-7859-43EA-97D0-F19D9DFDF7BB}">
  <sheetPr>
    <tabColor rgb="FFB39563"/>
  </sheetPr>
  <dimension ref="B1:H8"/>
  <sheetViews>
    <sheetView showGridLines="0" zoomScaleNormal="100" workbookViewId="0">
      <pane ySplit="4" topLeftCell="A5" activePane="bottomLeft" state="frozen"/>
      <selection pane="bottomLeft" activeCell="G8" sqref="G8"/>
    </sheetView>
  </sheetViews>
  <sheetFormatPr defaultColWidth="9.109375" defaultRowHeight="14.4" x14ac:dyDescent="0.3"/>
  <cols>
    <col min="1" max="1" width="5.33203125" customWidth="1"/>
    <col min="2" max="2" width="17.88671875" customWidth="1"/>
    <col min="3" max="3" width="16.88671875" bestFit="1" customWidth="1"/>
    <col min="4" max="4" width="14.33203125" bestFit="1" customWidth="1"/>
    <col min="5" max="5" width="31.88671875" customWidth="1"/>
  </cols>
  <sheetData>
    <row r="1" spans="2:8" s="29" customFormat="1" ht="60" customHeight="1" x14ac:dyDescent="0.3">
      <c r="E1" s="37" t="s">
        <v>38</v>
      </c>
      <c r="F1" s="30"/>
    </row>
    <row r="2" spans="2:8" s="32" customFormat="1" ht="6" customHeight="1" x14ac:dyDescent="0.3">
      <c r="F2" s="33"/>
    </row>
    <row r="3" spans="2:8" ht="6" customHeight="1" x14ac:dyDescent="0.3">
      <c r="F3" s="1"/>
    </row>
    <row r="4" spans="2:8" x14ac:dyDescent="0.3">
      <c r="B4" s="129" t="s">
        <v>39</v>
      </c>
      <c r="C4" s="129" t="s">
        <v>40</v>
      </c>
      <c r="D4" s="129" t="s">
        <v>41</v>
      </c>
      <c r="E4" s="129" t="s">
        <v>42</v>
      </c>
    </row>
    <row r="5" spans="2:8" ht="16.2" x14ac:dyDescent="0.35">
      <c r="B5" s="34" t="s">
        <v>43</v>
      </c>
      <c r="C5" s="35" t="s">
        <v>44</v>
      </c>
      <c r="D5" s="35" t="s">
        <v>45</v>
      </c>
      <c r="E5" s="36" t="s">
        <v>46</v>
      </c>
    </row>
    <row r="6" spans="2:8" ht="16.2" x14ac:dyDescent="0.35">
      <c r="B6" s="34" t="s">
        <v>47</v>
      </c>
      <c r="C6" s="35" t="s">
        <v>48</v>
      </c>
      <c r="D6" s="35" t="s">
        <v>49</v>
      </c>
      <c r="E6" s="36" t="s">
        <v>50</v>
      </c>
    </row>
    <row r="7" spans="2:8" ht="16.2" x14ac:dyDescent="0.35">
      <c r="B7" s="34" t="s">
        <v>51</v>
      </c>
      <c r="C7" s="35" t="s">
        <v>52</v>
      </c>
      <c r="D7" s="35" t="s">
        <v>53</v>
      </c>
      <c r="E7" s="36" t="s">
        <v>54</v>
      </c>
      <c r="H7" t="s">
        <v>55</v>
      </c>
    </row>
    <row r="8" spans="2:8" ht="16.2" x14ac:dyDescent="0.35">
      <c r="B8" s="34" t="s">
        <v>56</v>
      </c>
      <c r="C8" s="35" t="s">
        <v>57</v>
      </c>
      <c r="D8" s="35" t="s">
        <v>58</v>
      </c>
      <c r="E8" s="36" t="s">
        <v>59</v>
      </c>
    </row>
  </sheetData>
  <dataValidations count="1">
    <dataValidation type="custom" allowBlank="1" showInputMessage="1" showErrorMessage="1" errorTitle="Fornecedor Duplicado" error="Não é permitido cadastrar dois fornecedores com mesmo nome!" sqref="B5:B8" xr:uid="{CB0A8FAC-1E94-4C7B-B66C-BC840809AA8D}">
      <formula1>COUNTIF(Lista_Fornecedores,B5)&lt;=1</formula1>
    </dataValidation>
  </dataValidations>
  <hyperlinks>
    <hyperlink ref="E5" r:id="rId1" display="mailto:maria@mercadoexpress.com.br" xr:uid="{BFA96C7E-CFA4-43C1-BA94-93E939CAF61B}"/>
    <hyperlink ref="E6" r:id="rId2" xr:uid="{B2F5BAB3-8645-48D1-8743-F6B02EAFE6F1}"/>
    <hyperlink ref="E7" r:id="rId3" display="mailto:eduardo@distribuídoraks.com.br" xr:uid="{1E6B527E-51F9-4124-9C35-5E328A13FBAD}"/>
    <hyperlink ref="E8" r:id="rId4" display="mailto:claudia@salgadosgran.com.br" xr:uid="{6C1289BE-A6BD-4250-839B-0A00703A4967}"/>
  </hyperlinks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A20-855E-4FED-9FAD-F203EB96D68D}">
  <sheetPr>
    <tabColor rgb="FFB39563"/>
  </sheetPr>
  <dimension ref="A1:H58"/>
  <sheetViews>
    <sheetView showGridLines="0" zoomScale="110" zoomScaleNormal="110" workbookViewId="0">
      <pane ySplit="4" topLeftCell="A5" activePane="bottomLeft" state="frozen"/>
      <selection pane="bottomLeft" activeCell="E1" sqref="E1"/>
    </sheetView>
  </sheetViews>
  <sheetFormatPr defaultColWidth="9.109375" defaultRowHeight="14.4" x14ac:dyDescent="0.3"/>
  <cols>
    <col min="1" max="1" width="7" bestFit="1" customWidth="1"/>
    <col min="2" max="2" width="9.109375" customWidth="1"/>
    <col min="3" max="3" width="15.6640625" customWidth="1"/>
    <col min="4" max="4" width="17.109375" style="2" customWidth="1"/>
    <col min="5" max="5" width="18" style="2" customWidth="1"/>
    <col min="6" max="6" width="22.88671875" customWidth="1"/>
    <col min="7" max="7" width="22.33203125" style="2" customWidth="1"/>
    <col min="8" max="8" width="17.44140625" customWidth="1"/>
    <col min="9" max="9" width="18.44140625" customWidth="1"/>
  </cols>
  <sheetData>
    <row r="1" spans="1:8" s="29" customFormat="1" ht="60" customHeight="1" x14ac:dyDescent="0.3">
      <c r="F1" s="37" t="s">
        <v>60</v>
      </c>
      <c r="G1" s="30"/>
    </row>
    <row r="2" spans="1:8" s="32" customFormat="1" ht="6" customHeight="1" x14ac:dyDescent="0.3">
      <c r="F2" s="33"/>
    </row>
    <row r="3" spans="1:8" ht="6" customHeight="1" x14ac:dyDescent="0.3">
      <c r="D3"/>
      <c r="E3"/>
      <c r="F3" s="1"/>
      <c r="G3"/>
    </row>
    <row r="4" spans="1:8" s="4" customFormat="1" x14ac:dyDescent="0.3">
      <c r="B4" s="134" t="s">
        <v>108</v>
      </c>
      <c r="C4" s="135" t="s">
        <v>61</v>
      </c>
      <c r="D4" s="135" t="s">
        <v>1</v>
      </c>
      <c r="E4" s="135" t="s">
        <v>62</v>
      </c>
      <c r="F4" s="135" t="s">
        <v>63</v>
      </c>
      <c r="G4" s="135" t="s">
        <v>4</v>
      </c>
      <c r="H4" s="135" t="s">
        <v>64</v>
      </c>
    </row>
    <row r="5" spans="1:8" ht="16.2" x14ac:dyDescent="0.35">
      <c r="A5" s="123"/>
      <c r="B5" s="41">
        <f>MONTH(TB_Entradas[[#This Row],[Data]])</f>
        <v>1</v>
      </c>
      <c r="C5" s="130">
        <v>44566</v>
      </c>
      <c r="D5" s="41" t="s">
        <v>6</v>
      </c>
      <c r="E5" s="41" t="s">
        <v>43</v>
      </c>
      <c r="F5" s="131">
        <v>100</v>
      </c>
      <c r="G5" s="133" cm="1">
        <f t="array" ref="G5">_xlfn.XLOOKUP(TB_Entradas[[#This Row],[Produto]],TB_Produtos[[#All],[Produto]],TB_Produtos[[#All],[Custo Unitário]],"Produto não Encontrado",0,1)</f>
        <v>2</v>
      </c>
      <c r="H5" s="133">
        <f>IFERROR(TB_Entradas[[#This Row],[Quantidade Comprada]]*TB_Entradas[[#This Row],[Custo Unitário]],"Erro ao calcular")</f>
        <v>200</v>
      </c>
    </row>
    <row r="6" spans="1:8" ht="16.2" x14ac:dyDescent="0.35">
      <c r="A6" s="123"/>
      <c r="B6" s="41">
        <f>MONTH(TB_Entradas[[#This Row],[Data]])</f>
        <v>1</v>
      </c>
      <c r="C6" s="130">
        <v>44566</v>
      </c>
      <c r="D6" s="41" t="s">
        <v>10</v>
      </c>
      <c r="E6" s="41" t="s">
        <v>56</v>
      </c>
      <c r="F6" s="131">
        <v>100</v>
      </c>
      <c r="G6" s="133" cm="1">
        <f t="array" ref="G6">_xlfn.XLOOKUP(TB_Entradas[[#This Row],[Produto]],TB_Produtos[[#All],[Produto]],TB_Produtos[[#All],[Custo Unitário]],"Produto não Encontrado",0,1)</f>
        <v>0.5</v>
      </c>
      <c r="H6" s="133">
        <f>IFERROR(TB_Entradas[[#This Row],[Quantidade Comprada]]*TB_Entradas[[#This Row],[Custo Unitário]],"Erro ao calcular")</f>
        <v>50</v>
      </c>
    </row>
    <row r="7" spans="1:8" ht="16.2" x14ac:dyDescent="0.35">
      <c r="A7" s="123"/>
      <c r="B7" s="41">
        <f>MONTH(TB_Entradas[[#This Row],[Data]])</f>
        <v>1</v>
      </c>
      <c r="C7" s="130">
        <v>44576</v>
      </c>
      <c r="D7" s="41" t="s">
        <v>19</v>
      </c>
      <c r="E7" s="41" t="s">
        <v>43</v>
      </c>
      <c r="F7" s="131">
        <v>90</v>
      </c>
      <c r="G7" s="133" cm="1">
        <f t="array" ref="G7">_xlfn.XLOOKUP(TB_Entradas[[#This Row],[Produto]],TB_Produtos[[#All],[Produto]],TB_Produtos[[#All],[Custo Unitário]],"Produto não Encontrado",0,1)</f>
        <v>0.25</v>
      </c>
      <c r="H7" s="133">
        <f>IFERROR(TB_Entradas[[#This Row],[Quantidade Comprada]]*TB_Entradas[[#This Row],[Custo Unitário]],"Erro ao calcular")</f>
        <v>22.5</v>
      </c>
    </row>
    <row r="8" spans="1:8" ht="16.2" x14ac:dyDescent="0.35">
      <c r="A8" s="123"/>
      <c r="B8" s="41">
        <f>MONTH(TB_Entradas[[#This Row],[Data]])</f>
        <v>1</v>
      </c>
      <c r="C8" s="130">
        <v>44578</v>
      </c>
      <c r="D8" s="41" t="s">
        <v>25</v>
      </c>
      <c r="E8" s="41" t="s">
        <v>56</v>
      </c>
      <c r="F8" s="131">
        <v>100</v>
      </c>
      <c r="G8" s="133" cm="1">
        <f t="array" ref="G8">_xlfn.XLOOKUP(TB_Entradas[[#This Row],[Produto]],TB_Produtos[[#All],[Produto]],TB_Produtos[[#All],[Custo Unitário]],"Produto não Encontrado",0,1)</f>
        <v>0.25</v>
      </c>
      <c r="H8" s="133">
        <f>IFERROR(TB_Entradas[[#This Row],[Quantidade Comprada]]*TB_Entradas[[#This Row],[Custo Unitário]],"Erro ao calcular")</f>
        <v>25</v>
      </c>
    </row>
    <row r="9" spans="1:8" ht="16.2" x14ac:dyDescent="0.35">
      <c r="A9" s="123"/>
      <c r="B9" s="41">
        <f>MONTH(TB_Entradas[[#This Row],[Data]])</f>
        <v>2</v>
      </c>
      <c r="C9" s="130">
        <v>44593</v>
      </c>
      <c r="D9" s="41" t="s">
        <v>25</v>
      </c>
      <c r="E9" s="41" t="s">
        <v>56</v>
      </c>
      <c r="F9" s="131">
        <v>85</v>
      </c>
      <c r="G9" s="133" cm="1">
        <f t="array" ref="G9">_xlfn.XLOOKUP(TB_Entradas[[#This Row],[Produto]],TB_Produtos[[#All],[Produto]],TB_Produtos[[#All],[Custo Unitário]],"Produto não Encontrado",0,1)</f>
        <v>0.25</v>
      </c>
      <c r="H9" s="133">
        <f>IFERROR(TB_Entradas[[#This Row],[Quantidade Comprada]]*TB_Entradas[[#This Row],[Custo Unitário]],"Erro ao calcular")</f>
        <v>21.25</v>
      </c>
    </row>
    <row r="10" spans="1:8" ht="16.2" x14ac:dyDescent="0.35">
      <c r="A10" s="123"/>
      <c r="B10" s="41">
        <f>MONTH(TB_Entradas[[#This Row],[Data]])</f>
        <v>2</v>
      </c>
      <c r="C10" s="130">
        <v>44594</v>
      </c>
      <c r="D10" s="41" t="s">
        <v>19</v>
      </c>
      <c r="E10" s="41" t="s">
        <v>43</v>
      </c>
      <c r="F10" s="131">
        <v>80</v>
      </c>
      <c r="G10" s="133" cm="1">
        <f t="array" ref="G10">_xlfn.XLOOKUP(TB_Entradas[[#This Row],[Produto]],TB_Produtos[[#All],[Produto]],TB_Produtos[[#All],[Custo Unitário]],"Produto não Encontrado",0,1)</f>
        <v>0.25</v>
      </c>
      <c r="H10" s="133">
        <f>IFERROR(TB_Entradas[[#This Row],[Quantidade Comprada]]*TB_Entradas[[#This Row],[Custo Unitário]],"Erro ao calcular")</f>
        <v>20</v>
      </c>
    </row>
    <row r="11" spans="1:8" ht="16.2" x14ac:dyDescent="0.35">
      <c r="A11" s="123"/>
      <c r="B11" s="41">
        <f>MONTH(TB_Entradas[[#This Row],[Data]])</f>
        <v>2</v>
      </c>
      <c r="C11" s="130">
        <v>44598</v>
      </c>
      <c r="D11" s="41" t="s">
        <v>6</v>
      </c>
      <c r="E11" s="41" t="s">
        <v>43</v>
      </c>
      <c r="F11" s="131">
        <v>125</v>
      </c>
      <c r="G11" s="133" cm="1">
        <f t="array" ref="G11">_xlfn.XLOOKUP(TB_Entradas[[#This Row],[Produto]],TB_Produtos[[#All],[Produto]],TB_Produtos[[#All],[Custo Unitário]],"Produto não Encontrado",0,1)</f>
        <v>2</v>
      </c>
      <c r="H11" s="133">
        <f>IFERROR(TB_Entradas[[#This Row],[Quantidade Comprada]]*TB_Entradas[[#This Row],[Custo Unitário]],"Erro ao calcular")</f>
        <v>250</v>
      </c>
    </row>
    <row r="12" spans="1:8" ht="16.2" x14ac:dyDescent="0.35">
      <c r="A12" s="123"/>
      <c r="B12" s="41">
        <f>MONTH(TB_Entradas[[#This Row],[Data]])</f>
        <v>2</v>
      </c>
      <c r="C12" s="130">
        <v>44602</v>
      </c>
      <c r="D12" s="41" t="s">
        <v>31</v>
      </c>
      <c r="E12" s="41" t="s">
        <v>51</v>
      </c>
      <c r="F12" s="131">
        <v>50</v>
      </c>
      <c r="G12" s="133" cm="1">
        <f t="array" ref="G12">_xlfn.XLOOKUP(TB_Entradas[[#This Row],[Produto]],TB_Produtos[[#All],[Produto]],TB_Produtos[[#All],[Custo Unitário]],"Produto não Encontrado",0,1)</f>
        <v>0.75</v>
      </c>
      <c r="H12" s="133">
        <f>IFERROR(TB_Entradas[[#This Row],[Quantidade Comprada]]*TB_Entradas[[#This Row],[Custo Unitário]],"Erro ao calcular")</f>
        <v>37.5</v>
      </c>
    </row>
    <row r="13" spans="1:8" ht="16.2" x14ac:dyDescent="0.35">
      <c r="A13" s="123"/>
      <c r="B13" s="41">
        <f>MONTH(TB_Entradas[[#This Row],[Data]])</f>
        <v>2</v>
      </c>
      <c r="C13" s="130">
        <v>44612</v>
      </c>
      <c r="D13" s="41" t="s">
        <v>10</v>
      </c>
      <c r="E13" s="41" t="s">
        <v>56</v>
      </c>
      <c r="F13" s="131">
        <v>100</v>
      </c>
      <c r="G13" s="133" cm="1">
        <f t="array" ref="G13">_xlfn.XLOOKUP(TB_Entradas[[#This Row],[Produto]],TB_Produtos[[#All],[Produto]],TB_Produtos[[#All],[Custo Unitário]],"Produto não Encontrado",0,1)</f>
        <v>0.5</v>
      </c>
      <c r="H13" s="133">
        <f>IFERROR(TB_Entradas[[#This Row],[Quantidade Comprada]]*TB_Entradas[[#This Row],[Custo Unitário]],"Erro ao calcular")</f>
        <v>50</v>
      </c>
    </row>
    <row r="14" spans="1:8" ht="16.2" x14ac:dyDescent="0.35">
      <c r="A14" s="123"/>
      <c r="B14" s="41">
        <f>MONTH(TB_Entradas[[#This Row],[Data]])</f>
        <v>3</v>
      </c>
      <c r="C14" s="130">
        <v>44625</v>
      </c>
      <c r="D14" s="41" t="s">
        <v>36</v>
      </c>
      <c r="E14" s="41" t="s">
        <v>51</v>
      </c>
      <c r="F14" s="131">
        <v>250</v>
      </c>
      <c r="G14" s="133" cm="1">
        <f t="array" ref="G14">_xlfn.XLOOKUP(TB_Entradas[[#This Row],[Produto]],TB_Produtos[[#All],[Produto]],TB_Produtos[[#All],[Custo Unitário]],"Produto não Encontrado",0,1)</f>
        <v>2</v>
      </c>
      <c r="H14" s="133">
        <f>IFERROR(TB_Entradas[[#This Row],[Quantidade Comprada]]*TB_Entradas[[#This Row],[Custo Unitário]],"Erro ao calcular")</f>
        <v>500</v>
      </c>
    </row>
    <row r="15" spans="1:8" ht="16.2" x14ac:dyDescent="0.35">
      <c r="A15" s="123"/>
      <c r="B15" s="41">
        <f>MONTH(TB_Entradas[[#This Row],[Data]])</f>
        <v>3</v>
      </c>
      <c r="C15" s="130">
        <v>44630</v>
      </c>
      <c r="D15" s="41" t="s">
        <v>25</v>
      </c>
      <c r="E15" s="41" t="s">
        <v>56</v>
      </c>
      <c r="F15" s="131">
        <v>50</v>
      </c>
      <c r="G15" s="133" cm="1">
        <f t="array" ref="G15">_xlfn.XLOOKUP(TB_Entradas[[#This Row],[Produto]],TB_Produtos[[#All],[Produto]],TB_Produtos[[#All],[Custo Unitário]],"Produto não Encontrado",0,1)</f>
        <v>0.25</v>
      </c>
      <c r="H15" s="133">
        <f>IFERROR(TB_Entradas[[#This Row],[Quantidade Comprada]]*TB_Entradas[[#This Row],[Custo Unitário]],"Erro ao calcular")</f>
        <v>12.5</v>
      </c>
    </row>
    <row r="16" spans="1:8" ht="16.2" x14ac:dyDescent="0.35">
      <c r="A16" s="123"/>
      <c r="B16" s="41">
        <f>MONTH(TB_Entradas[[#This Row],[Data]])</f>
        <v>3</v>
      </c>
      <c r="C16" s="130">
        <v>44635</v>
      </c>
      <c r="D16" s="41" t="s">
        <v>6</v>
      </c>
      <c r="E16" s="41" t="s">
        <v>43</v>
      </c>
      <c r="F16" s="131">
        <v>150</v>
      </c>
      <c r="G16" s="133" cm="1">
        <f t="array" ref="G16">_xlfn.XLOOKUP(TB_Entradas[[#This Row],[Produto]],TB_Produtos[[#All],[Produto]],TB_Produtos[[#All],[Custo Unitário]],"Produto não Encontrado",0,1)</f>
        <v>2</v>
      </c>
      <c r="H16" s="133">
        <f>IFERROR(TB_Entradas[[#This Row],[Quantidade Comprada]]*TB_Entradas[[#This Row],[Custo Unitário]],"Erro ao calcular")</f>
        <v>300</v>
      </c>
    </row>
    <row r="17" spans="1:8" ht="16.2" x14ac:dyDescent="0.35">
      <c r="A17" s="123"/>
      <c r="B17" s="41">
        <f>MONTH(TB_Entradas[[#This Row],[Data]])</f>
        <v>3</v>
      </c>
      <c r="C17" s="130">
        <v>44637</v>
      </c>
      <c r="D17" s="41" t="s">
        <v>26</v>
      </c>
      <c r="E17" s="41" t="s">
        <v>43</v>
      </c>
      <c r="F17" s="131">
        <v>100</v>
      </c>
      <c r="G17" s="133" cm="1">
        <f t="array" ref="G17">_xlfn.XLOOKUP(TB_Entradas[[#This Row],[Produto]],TB_Produtos[[#All],[Produto]],TB_Produtos[[#All],[Custo Unitário]],"Produto não Encontrado",0,1)</f>
        <v>0.75</v>
      </c>
      <c r="H17" s="133">
        <f>IFERROR(TB_Entradas[[#This Row],[Quantidade Comprada]]*TB_Entradas[[#This Row],[Custo Unitário]],"Erro ao calcular")</f>
        <v>75</v>
      </c>
    </row>
    <row r="18" spans="1:8" ht="16.2" x14ac:dyDescent="0.35">
      <c r="A18" s="123"/>
      <c r="B18" s="41">
        <f>MONTH(TB_Entradas[[#This Row],[Data]])</f>
        <v>3</v>
      </c>
      <c r="C18" s="130">
        <v>44644</v>
      </c>
      <c r="D18" s="41" t="s">
        <v>19</v>
      </c>
      <c r="E18" s="41" t="s">
        <v>43</v>
      </c>
      <c r="F18" s="131">
        <v>40</v>
      </c>
      <c r="G18" s="133" cm="1">
        <f t="array" ref="G18">_xlfn.XLOOKUP(TB_Entradas[[#This Row],[Produto]],TB_Produtos[[#All],[Produto]],TB_Produtos[[#All],[Custo Unitário]],"Produto não Encontrado",0,1)</f>
        <v>0.25</v>
      </c>
      <c r="H18" s="133">
        <f>IFERROR(TB_Entradas[[#This Row],[Quantidade Comprada]]*TB_Entradas[[#This Row],[Custo Unitário]],"Erro ao calcular")</f>
        <v>10</v>
      </c>
    </row>
    <row r="19" spans="1:8" ht="16.2" x14ac:dyDescent="0.35">
      <c r="A19" s="123"/>
      <c r="B19" s="41">
        <f>MONTH(TB_Entradas[[#This Row],[Data]])</f>
        <v>3</v>
      </c>
      <c r="C19" s="130">
        <v>44647</v>
      </c>
      <c r="D19" s="41" t="s">
        <v>10</v>
      </c>
      <c r="E19" s="41" t="s">
        <v>56</v>
      </c>
      <c r="F19" s="131">
        <v>50</v>
      </c>
      <c r="G19" s="133" cm="1">
        <f t="array" ref="G19">_xlfn.XLOOKUP(TB_Entradas[[#This Row],[Produto]],TB_Produtos[[#All],[Produto]],TB_Produtos[[#All],[Custo Unitário]],"Produto não Encontrado",0,1)</f>
        <v>0.5</v>
      </c>
      <c r="H19" s="133">
        <f>IFERROR(TB_Entradas[[#This Row],[Quantidade Comprada]]*TB_Entradas[[#This Row],[Custo Unitário]],"Erro ao calcular")</f>
        <v>25</v>
      </c>
    </row>
    <row r="20" spans="1:8" ht="16.2" x14ac:dyDescent="0.35">
      <c r="A20" s="123"/>
      <c r="B20" s="41">
        <f>MONTH(TB_Entradas[[#This Row],[Data]])</f>
        <v>4</v>
      </c>
      <c r="C20" s="130">
        <v>44655</v>
      </c>
      <c r="D20" s="41" t="s">
        <v>25</v>
      </c>
      <c r="E20" s="41" t="s">
        <v>56</v>
      </c>
      <c r="F20" s="131">
        <v>90</v>
      </c>
      <c r="G20" s="133" cm="1">
        <f t="array" ref="G20">_xlfn.XLOOKUP(TB_Entradas[[#This Row],[Produto]],TB_Produtos[[#All],[Produto]],TB_Produtos[[#All],[Custo Unitário]],"Produto não Encontrado",0,1)</f>
        <v>0.25</v>
      </c>
      <c r="H20" s="133">
        <f>IFERROR(TB_Entradas[[#This Row],[Quantidade Comprada]]*TB_Entradas[[#This Row],[Custo Unitário]],"Erro ao calcular")</f>
        <v>22.5</v>
      </c>
    </row>
    <row r="21" spans="1:8" ht="16.2" x14ac:dyDescent="0.35">
      <c r="A21" s="123"/>
      <c r="B21" s="41">
        <f>MONTH(TB_Entradas[[#This Row],[Data]])</f>
        <v>4</v>
      </c>
      <c r="C21" s="130">
        <v>44661</v>
      </c>
      <c r="D21" s="41" t="s">
        <v>6</v>
      </c>
      <c r="E21" s="41" t="s">
        <v>43</v>
      </c>
      <c r="F21" s="131">
        <v>150</v>
      </c>
      <c r="G21" s="133" cm="1">
        <f t="array" ref="G21">_xlfn.XLOOKUP(TB_Entradas[[#This Row],[Produto]],TB_Produtos[[#All],[Produto]],TB_Produtos[[#All],[Custo Unitário]],"Produto não Encontrado",0,1)</f>
        <v>2</v>
      </c>
      <c r="H21" s="133">
        <f>IFERROR(TB_Entradas[[#This Row],[Quantidade Comprada]]*TB_Entradas[[#This Row],[Custo Unitário]],"Erro ao calcular")</f>
        <v>300</v>
      </c>
    </row>
    <row r="22" spans="1:8" ht="16.2" x14ac:dyDescent="0.35">
      <c r="A22" s="123"/>
      <c r="B22" s="41">
        <f>MONTH(TB_Entradas[[#This Row],[Data]])</f>
        <v>4</v>
      </c>
      <c r="C22" s="130">
        <v>44672</v>
      </c>
      <c r="D22" s="41" t="s">
        <v>19</v>
      </c>
      <c r="E22" s="41" t="s">
        <v>43</v>
      </c>
      <c r="F22" s="131">
        <v>60</v>
      </c>
      <c r="G22" s="133" cm="1">
        <f t="array" ref="G22">_xlfn.XLOOKUP(TB_Entradas[[#This Row],[Produto]],TB_Produtos[[#All],[Produto]],TB_Produtos[[#All],[Custo Unitário]],"Produto não Encontrado",0,1)</f>
        <v>0.25</v>
      </c>
      <c r="H22" s="133">
        <f>IFERROR(TB_Entradas[[#This Row],[Quantidade Comprada]]*TB_Entradas[[#This Row],[Custo Unitário]],"Erro ao calcular")</f>
        <v>15</v>
      </c>
    </row>
    <row r="23" spans="1:8" ht="16.2" x14ac:dyDescent="0.35">
      <c r="A23" s="123"/>
      <c r="B23" s="41">
        <f>MONTH(TB_Entradas[[#This Row],[Data]])</f>
        <v>4</v>
      </c>
      <c r="C23" s="130">
        <v>44681</v>
      </c>
      <c r="D23" s="41" t="s">
        <v>10</v>
      </c>
      <c r="E23" s="41" t="s">
        <v>56</v>
      </c>
      <c r="F23" s="131">
        <v>50</v>
      </c>
      <c r="G23" s="133" cm="1">
        <f t="array" ref="G23">_xlfn.XLOOKUP(TB_Entradas[[#This Row],[Produto]],TB_Produtos[[#All],[Produto]],TB_Produtos[[#All],[Custo Unitário]],"Produto não Encontrado",0,1)</f>
        <v>0.5</v>
      </c>
      <c r="H23" s="133">
        <f>IFERROR(TB_Entradas[[#This Row],[Quantidade Comprada]]*TB_Entradas[[#This Row],[Custo Unitário]],"Erro ao calcular")</f>
        <v>25</v>
      </c>
    </row>
    <row r="24" spans="1:8" ht="16.2" x14ac:dyDescent="0.35">
      <c r="A24" s="123"/>
      <c r="B24" s="41">
        <f>MONTH(TB_Entradas[[#This Row],[Data]])</f>
        <v>5</v>
      </c>
      <c r="C24" s="130">
        <v>44686</v>
      </c>
      <c r="D24" s="41" t="s">
        <v>27</v>
      </c>
      <c r="E24" s="41" t="s">
        <v>47</v>
      </c>
      <c r="F24" s="131">
        <v>60</v>
      </c>
      <c r="G24" s="133" cm="1">
        <f t="array" ref="G24">_xlfn.XLOOKUP(TB_Entradas[[#This Row],[Produto]],TB_Produtos[[#All],[Produto]],TB_Produtos[[#All],[Custo Unitário]],"Produto não Encontrado",0,1)</f>
        <v>8</v>
      </c>
      <c r="H24" s="133">
        <f>IFERROR(TB_Entradas[[#This Row],[Quantidade Comprada]]*TB_Entradas[[#This Row],[Custo Unitário]],"Erro ao calcular")</f>
        <v>480</v>
      </c>
    </row>
    <row r="25" spans="1:8" ht="16.2" x14ac:dyDescent="0.35">
      <c r="A25" s="123"/>
      <c r="B25" s="41">
        <f>MONTH(TB_Entradas[[#This Row],[Data]])</f>
        <v>5</v>
      </c>
      <c r="C25" s="130">
        <v>44687</v>
      </c>
      <c r="D25" s="41" t="s">
        <v>10</v>
      </c>
      <c r="E25" s="41" t="s">
        <v>56</v>
      </c>
      <c r="F25" s="131">
        <v>50</v>
      </c>
      <c r="G25" s="133" cm="1">
        <f t="array" ref="G25">_xlfn.XLOOKUP(TB_Entradas[[#This Row],[Produto]],TB_Produtos[[#All],[Produto]],TB_Produtos[[#All],[Custo Unitário]],"Produto não Encontrado",0,1)</f>
        <v>0.5</v>
      </c>
      <c r="H25" s="133">
        <f>IFERROR(TB_Entradas[[#This Row],[Quantidade Comprada]]*TB_Entradas[[#This Row],[Custo Unitário]],"Erro ao calcular")</f>
        <v>25</v>
      </c>
    </row>
    <row r="26" spans="1:8" ht="16.2" x14ac:dyDescent="0.35">
      <c r="A26" s="123"/>
      <c r="B26" s="41">
        <f>MONTH(TB_Entradas[[#This Row],[Data]])</f>
        <v>5</v>
      </c>
      <c r="C26" s="130">
        <v>44691</v>
      </c>
      <c r="D26" s="41" t="s">
        <v>25</v>
      </c>
      <c r="E26" s="41" t="s">
        <v>56</v>
      </c>
      <c r="F26" s="131">
        <v>30</v>
      </c>
      <c r="G26" s="133" cm="1">
        <f t="array" ref="G26">_xlfn.XLOOKUP(TB_Entradas[[#This Row],[Produto]],TB_Produtos[[#All],[Produto]],TB_Produtos[[#All],[Custo Unitário]],"Produto não Encontrado",0,1)</f>
        <v>0.25</v>
      </c>
      <c r="H26" s="133">
        <f>IFERROR(TB_Entradas[[#This Row],[Quantidade Comprada]]*TB_Entradas[[#This Row],[Custo Unitário]],"Erro ao calcular")</f>
        <v>7.5</v>
      </c>
    </row>
    <row r="27" spans="1:8" ht="16.2" x14ac:dyDescent="0.35">
      <c r="A27" s="123"/>
      <c r="B27" s="41">
        <f>MONTH(TB_Entradas[[#This Row],[Data]])</f>
        <v>5</v>
      </c>
      <c r="C27" s="130">
        <v>44691</v>
      </c>
      <c r="D27" s="41" t="s">
        <v>6</v>
      </c>
      <c r="E27" s="41" t="s">
        <v>43</v>
      </c>
      <c r="F27" s="131">
        <v>100</v>
      </c>
      <c r="G27" s="133" cm="1">
        <f t="array" ref="G27">_xlfn.XLOOKUP(TB_Entradas[[#This Row],[Produto]],TB_Produtos[[#All],[Produto]],TB_Produtos[[#All],[Custo Unitário]],"Produto não Encontrado",0,1)</f>
        <v>2</v>
      </c>
      <c r="H27" s="133">
        <f>IFERROR(TB_Entradas[[#This Row],[Quantidade Comprada]]*TB_Entradas[[#This Row],[Custo Unitário]],"Erro ao calcular")</f>
        <v>200</v>
      </c>
    </row>
    <row r="28" spans="1:8" ht="16.2" x14ac:dyDescent="0.35">
      <c r="A28" s="123"/>
      <c r="B28" s="41">
        <f>MONTH(TB_Entradas[[#This Row],[Data]])</f>
        <v>5</v>
      </c>
      <c r="C28" s="130">
        <v>44698</v>
      </c>
      <c r="D28" s="41" t="s">
        <v>19</v>
      </c>
      <c r="E28" s="41" t="s">
        <v>43</v>
      </c>
      <c r="F28" s="131">
        <v>45</v>
      </c>
      <c r="G28" s="133" cm="1">
        <f t="array" ref="G28">_xlfn.XLOOKUP(TB_Entradas[[#This Row],[Produto]],TB_Produtos[[#All],[Produto]],TB_Produtos[[#All],[Custo Unitário]],"Produto não Encontrado",0,1)</f>
        <v>0.25</v>
      </c>
      <c r="H28" s="133">
        <f>IFERROR(TB_Entradas[[#This Row],[Quantidade Comprada]]*TB_Entradas[[#This Row],[Custo Unitário]],"Erro ao calcular")</f>
        <v>11.25</v>
      </c>
    </row>
    <row r="29" spans="1:8" ht="16.2" x14ac:dyDescent="0.35">
      <c r="A29" s="123"/>
      <c r="B29" s="41">
        <f>MONTH(TB_Entradas[[#This Row],[Data]])</f>
        <v>6</v>
      </c>
      <c r="C29" s="130">
        <v>44714</v>
      </c>
      <c r="D29" s="41" t="s">
        <v>6</v>
      </c>
      <c r="E29" s="41" t="s">
        <v>43</v>
      </c>
      <c r="F29" s="131">
        <v>150</v>
      </c>
      <c r="G29" s="133" cm="1">
        <f t="array" ref="G29">_xlfn.XLOOKUP(TB_Entradas[[#This Row],[Produto]],TB_Produtos[[#All],[Produto]],TB_Produtos[[#All],[Custo Unitário]],"Produto não Encontrado",0,1)</f>
        <v>2</v>
      </c>
      <c r="H29" s="133">
        <f>IFERROR(TB_Entradas[[#This Row],[Quantidade Comprada]]*TB_Entradas[[#This Row],[Custo Unitário]],"Erro ao calcular")</f>
        <v>300</v>
      </c>
    </row>
    <row r="30" spans="1:8" ht="16.2" x14ac:dyDescent="0.35">
      <c r="A30" s="123"/>
      <c r="B30" s="41">
        <f>MONTH(TB_Entradas[[#This Row],[Data]])</f>
        <v>6</v>
      </c>
      <c r="C30" s="130">
        <v>44719</v>
      </c>
      <c r="D30" s="41" t="s">
        <v>19</v>
      </c>
      <c r="E30" s="41" t="s">
        <v>43</v>
      </c>
      <c r="F30" s="131">
        <v>115</v>
      </c>
      <c r="G30" s="133" cm="1">
        <f t="array" ref="G30">_xlfn.XLOOKUP(TB_Entradas[[#This Row],[Produto]],TB_Produtos[[#All],[Produto]],TB_Produtos[[#All],[Custo Unitário]],"Produto não Encontrado",0,1)</f>
        <v>0.25</v>
      </c>
      <c r="H30" s="133">
        <f>IFERROR(TB_Entradas[[#This Row],[Quantidade Comprada]]*TB_Entradas[[#This Row],[Custo Unitário]],"Erro ao calcular")</f>
        <v>28.75</v>
      </c>
    </row>
    <row r="31" spans="1:8" ht="16.2" x14ac:dyDescent="0.35">
      <c r="A31" s="123"/>
      <c r="B31" s="41">
        <f>MONTH(TB_Entradas[[#This Row],[Data]])</f>
        <v>6</v>
      </c>
      <c r="C31" s="130">
        <v>44727</v>
      </c>
      <c r="D31" s="41" t="s">
        <v>25</v>
      </c>
      <c r="E31" s="41" t="s">
        <v>56</v>
      </c>
      <c r="F31" s="131">
        <v>100</v>
      </c>
      <c r="G31" s="133" cm="1">
        <f t="array" ref="G31">_xlfn.XLOOKUP(TB_Entradas[[#This Row],[Produto]],TB_Produtos[[#All],[Produto]],TB_Produtos[[#All],[Custo Unitário]],"Produto não Encontrado",0,1)</f>
        <v>0.25</v>
      </c>
      <c r="H31" s="133">
        <f>IFERROR(TB_Entradas[[#This Row],[Quantidade Comprada]]*TB_Entradas[[#This Row],[Custo Unitário]],"Erro ao calcular")</f>
        <v>25</v>
      </c>
    </row>
    <row r="32" spans="1:8" ht="16.2" x14ac:dyDescent="0.35">
      <c r="A32" s="123"/>
      <c r="B32" s="41">
        <f>MONTH(TB_Entradas[[#This Row],[Data]])</f>
        <v>6</v>
      </c>
      <c r="C32" s="130">
        <v>44735</v>
      </c>
      <c r="D32" s="41" t="s">
        <v>10</v>
      </c>
      <c r="E32" s="41" t="s">
        <v>56</v>
      </c>
      <c r="F32" s="131">
        <v>45</v>
      </c>
      <c r="G32" s="133" cm="1">
        <f t="array" ref="G32">_xlfn.XLOOKUP(TB_Entradas[[#This Row],[Produto]],TB_Produtos[[#All],[Produto]],TB_Produtos[[#All],[Custo Unitário]],"Produto não Encontrado",0,1)</f>
        <v>0.5</v>
      </c>
      <c r="H32" s="133">
        <f>IFERROR(TB_Entradas[[#This Row],[Quantidade Comprada]]*TB_Entradas[[#This Row],[Custo Unitário]],"Erro ao calcular")</f>
        <v>22.5</v>
      </c>
    </row>
    <row r="33" spans="1:8" ht="16.2" x14ac:dyDescent="0.35">
      <c r="A33" s="123"/>
      <c r="B33" s="41">
        <f>MONTH(TB_Entradas[[#This Row],[Data]])</f>
        <v>7</v>
      </c>
      <c r="C33" s="130">
        <v>44743</v>
      </c>
      <c r="D33" s="41" t="s">
        <v>6</v>
      </c>
      <c r="E33" s="41" t="s">
        <v>43</v>
      </c>
      <c r="F33" s="131">
        <v>150</v>
      </c>
      <c r="G33" s="133" cm="1">
        <f t="array" ref="G33">_xlfn.XLOOKUP(TB_Entradas[[#This Row],[Produto]],TB_Produtos[[#All],[Produto]],TB_Produtos[[#All],[Custo Unitário]],"Produto não Encontrado",0,1)</f>
        <v>2</v>
      </c>
      <c r="H33" s="133">
        <f>IFERROR(TB_Entradas[[#This Row],[Quantidade Comprada]]*TB_Entradas[[#This Row],[Custo Unitário]],"Erro ao calcular")</f>
        <v>300</v>
      </c>
    </row>
    <row r="34" spans="1:8" ht="16.2" x14ac:dyDescent="0.35">
      <c r="A34" s="123"/>
      <c r="B34" s="41">
        <f>MONTH(TB_Entradas[[#This Row],[Data]])</f>
        <v>7</v>
      </c>
      <c r="C34" s="130">
        <v>44747</v>
      </c>
      <c r="D34" s="41" t="s">
        <v>25</v>
      </c>
      <c r="E34" s="41" t="s">
        <v>56</v>
      </c>
      <c r="F34" s="131">
        <v>60</v>
      </c>
      <c r="G34" s="133" cm="1">
        <f t="array" ref="G34">_xlfn.XLOOKUP(TB_Entradas[[#This Row],[Produto]],TB_Produtos[[#All],[Produto]],TB_Produtos[[#All],[Custo Unitário]],"Produto não Encontrado",0,1)</f>
        <v>0.25</v>
      </c>
      <c r="H34" s="133">
        <f>IFERROR(TB_Entradas[[#This Row],[Quantidade Comprada]]*TB_Entradas[[#This Row],[Custo Unitário]],"Erro ao calcular")</f>
        <v>15</v>
      </c>
    </row>
    <row r="35" spans="1:8" ht="16.2" x14ac:dyDescent="0.35">
      <c r="A35" s="123"/>
      <c r="B35" s="41">
        <f>MONTH(TB_Entradas[[#This Row],[Data]])</f>
        <v>7</v>
      </c>
      <c r="C35" s="130">
        <v>44749</v>
      </c>
      <c r="D35" s="41" t="s">
        <v>19</v>
      </c>
      <c r="E35" s="41" t="s">
        <v>43</v>
      </c>
      <c r="F35" s="131">
        <v>120</v>
      </c>
      <c r="G35" s="133" cm="1">
        <f t="array" ref="G35">_xlfn.XLOOKUP(TB_Entradas[[#This Row],[Produto]],TB_Produtos[[#All],[Produto]],TB_Produtos[[#All],[Custo Unitário]],"Produto não Encontrado",0,1)</f>
        <v>0.25</v>
      </c>
      <c r="H35" s="133">
        <f>IFERROR(TB_Entradas[[#This Row],[Quantidade Comprada]]*TB_Entradas[[#This Row],[Custo Unitário]],"Erro ao calcular")</f>
        <v>30</v>
      </c>
    </row>
    <row r="36" spans="1:8" ht="16.2" x14ac:dyDescent="0.35">
      <c r="A36" s="123"/>
      <c r="B36" s="41">
        <f>MONTH(TB_Entradas[[#This Row],[Data]])</f>
        <v>7</v>
      </c>
      <c r="C36" s="130">
        <v>44757</v>
      </c>
      <c r="D36" s="41" t="s">
        <v>10</v>
      </c>
      <c r="E36" s="41" t="s">
        <v>56</v>
      </c>
      <c r="F36" s="131">
        <v>20</v>
      </c>
      <c r="G36" s="133" cm="1">
        <f t="array" ref="G36">_xlfn.XLOOKUP(TB_Entradas[[#This Row],[Produto]],TB_Produtos[[#All],[Produto]],TB_Produtos[[#All],[Custo Unitário]],"Produto não Encontrado",0,1)</f>
        <v>0.5</v>
      </c>
      <c r="H36" s="133">
        <f>IFERROR(TB_Entradas[[#This Row],[Quantidade Comprada]]*TB_Entradas[[#This Row],[Custo Unitário]],"Erro ao calcular")</f>
        <v>10</v>
      </c>
    </row>
    <row r="37" spans="1:8" ht="16.2" x14ac:dyDescent="0.35">
      <c r="A37" s="123"/>
      <c r="B37" s="41">
        <f>MONTH(TB_Entradas[[#This Row],[Data]])</f>
        <v>8</v>
      </c>
      <c r="C37" s="130">
        <v>44778</v>
      </c>
      <c r="D37" s="41" t="s">
        <v>19</v>
      </c>
      <c r="E37" s="41" t="s">
        <v>43</v>
      </c>
      <c r="F37" s="131">
        <v>35</v>
      </c>
      <c r="G37" s="133" cm="1">
        <f t="array" ref="G37">_xlfn.XLOOKUP(TB_Entradas[[#This Row],[Produto]],TB_Produtos[[#All],[Produto]],TB_Produtos[[#All],[Custo Unitário]],"Produto não Encontrado",0,1)</f>
        <v>0.25</v>
      </c>
      <c r="H37" s="133">
        <f>IFERROR(TB_Entradas[[#This Row],[Quantidade Comprada]]*TB_Entradas[[#This Row],[Custo Unitário]],"Erro ao calcular")</f>
        <v>8.75</v>
      </c>
    </row>
    <row r="38" spans="1:8" ht="16.2" x14ac:dyDescent="0.35">
      <c r="A38" s="123"/>
      <c r="B38" s="41">
        <f>MONTH(TB_Entradas[[#This Row],[Data]])</f>
        <v>8</v>
      </c>
      <c r="C38" s="130">
        <v>44783</v>
      </c>
      <c r="D38" s="41" t="s">
        <v>23</v>
      </c>
      <c r="E38" s="41" t="s">
        <v>43</v>
      </c>
      <c r="F38" s="131">
        <v>100</v>
      </c>
      <c r="G38" s="133" cm="1">
        <f t="array" ref="G38">_xlfn.XLOOKUP(TB_Entradas[[#This Row],[Produto]],TB_Produtos[[#All],[Produto]],TB_Produtos[[#All],[Custo Unitário]],"Produto não Encontrado",0,1)</f>
        <v>1</v>
      </c>
      <c r="H38" s="133">
        <f>IFERROR(TB_Entradas[[#This Row],[Quantidade Comprada]]*TB_Entradas[[#This Row],[Custo Unitário]],"Erro ao calcular")</f>
        <v>100</v>
      </c>
    </row>
    <row r="39" spans="1:8" ht="16.2" x14ac:dyDescent="0.35">
      <c r="A39" s="123"/>
      <c r="B39" s="41">
        <f>MONTH(TB_Entradas[[#This Row],[Data]])</f>
        <v>8</v>
      </c>
      <c r="C39" s="130">
        <v>44791</v>
      </c>
      <c r="D39" s="41" t="s">
        <v>25</v>
      </c>
      <c r="E39" s="41" t="s">
        <v>56</v>
      </c>
      <c r="F39" s="131">
        <v>30</v>
      </c>
      <c r="G39" s="133" cm="1">
        <f t="array" ref="G39">_xlfn.XLOOKUP(TB_Entradas[[#This Row],[Produto]],TB_Produtos[[#All],[Produto]],TB_Produtos[[#All],[Custo Unitário]],"Produto não Encontrado",0,1)</f>
        <v>0.25</v>
      </c>
      <c r="H39" s="133">
        <f>IFERROR(TB_Entradas[[#This Row],[Quantidade Comprada]]*TB_Entradas[[#This Row],[Custo Unitário]],"Erro ao calcular")</f>
        <v>7.5</v>
      </c>
    </row>
    <row r="40" spans="1:8" ht="16.2" x14ac:dyDescent="0.35">
      <c r="A40" s="123"/>
      <c r="B40" s="41">
        <f>MONTH(TB_Entradas[[#This Row],[Data]])</f>
        <v>8</v>
      </c>
      <c r="C40" s="130">
        <v>44791</v>
      </c>
      <c r="D40" s="41" t="s">
        <v>10</v>
      </c>
      <c r="E40" s="41" t="s">
        <v>56</v>
      </c>
      <c r="F40" s="131">
        <v>30</v>
      </c>
      <c r="G40" s="133" cm="1">
        <f t="array" ref="G40">_xlfn.XLOOKUP(TB_Entradas[[#This Row],[Produto]],TB_Produtos[[#All],[Produto]],TB_Produtos[[#All],[Custo Unitário]],"Produto não Encontrado",0,1)</f>
        <v>0.5</v>
      </c>
      <c r="H40" s="133">
        <f>IFERROR(TB_Entradas[[#This Row],[Quantidade Comprada]]*TB_Entradas[[#This Row],[Custo Unitário]],"Erro ao calcular")</f>
        <v>15</v>
      </c>
    </row>
    <row r="41" spans="1:8" ht="16.2" x14ac:dyDescent="0.35">
      <c r="A41" s="123"/>
      <c r="B41" s="41">
        <f>MONTH(TB_Entradas[[#This Row],[Data]])</f>
        <v>8</v>
      </c>
      <c r="C41" s="130">
        <v>44804</v>
      </c>
      <c r="D41" s="41" t="s">
        <v>6</v>
      </c>
      <c r="E41" s="41" t="s">
        <v>43</v>
      </c>
      <c r="F41" s="131">
        <v>150</v>
      </c>
      <c r="G41" s="133" cm="1">
        <f t="array" ref="G41">_xlfn.XLOOKUP(TB_Entradas[[#This Row],[Produto]],TB_Produtos[[#All],[Produto]],TB_Produtos[[#All],[Custo Unitário]],"Produto não Encontrado",0,1)</f>
        <v>2</v>
      </c>
      <c r="H41" s="133">
        <f>IFERROR(TB_Entradas[[#This Row],[Quantidade Comprada]]*TB_Entradas[[#This Row],[Custo Unitário]],"Erro ao calcular")</f>
        <v>300</v>
      </c>
    </row>
    <row r="42" spans="1:8" ht="16.2" x14ac:dyDescent="0.35">
      <c r="A42" s="123"/>
      <c r="B42" s="41">
        <f>MONTH(TB_Entradas[[#This Row],[Data]])</f>
        <v>9</v>
      </c>
      <c r="C42" s="130">
        <v>44806</v>
      </c>
      <c r="D42" s="41" t="s">
        <v>36</v>
      </c>
      <c r="E42" s="41" t="s">
        <v>51</v>
      </c>
      <c r="F42" s="131">
        <v>100</v>
      </c>
      <c r="G42" s="133" cm="1">
        <f t="array" ref="G42">_xlfn.XLOOKUP(TB_Entradas[[#This Row],[Produto]],TB_Produtos[[#All],[Produto]],TB_Produtos[[#All],[Custo Unitário]],"Produto não Encontrado",0,1)</f>
        <v>2</v>
      </c>
      <c r="H42" s="133">
        <f>IFERROR(TB_Entradas[[#This Row],[Quantidade Comprada]]*TB_Entradas[[#This Row],[Custo Unitário]],"Erro ao calcular")</f>
        <v>200</v>
      </c>
    </row>
    <row r="43" spans="1:8" ht="16.2" x14ac:dyDescent="0.35">
      <c r="A43" s="123"/>
      <c r="B43" s="41">
        <f>MONTH(TB_Entradas[[#This Row],[Data]])</f>
        <v>9</v>
      </c>
      <c r="C43" s="130">
        <v>44811</v>
      </c>
      <c r="D43" s="41" t="s">
        <v>19</v>
      </c>
      <c r="E43" s="41" t="s">
        <v>43</v>
      </c>
      <c r="F43" s="131">
        <v>34</v>
      </c>
      <c r="G43" s="133" cm="1">
        <f t="array" ref="G43">_xlfn.XLOOKUP(TB_Entradas[[#This Row],[Produto]],TB_Produtos[[#All],[Produto]],TB_Produtos[[#All],[Custo Unitário]],"Produto não Encontrado",0,1)</f>
        <v>0.25</v>
      </c>
      <c r="H43" s="133">
        <f>IFERROR(TB_Entradas[[#This Row],[Quantidade Comprada]]*TB_Entradas[[#This Row],[Custo Unitário]],"Erro ao calcular")</f>
        <v>8.5</v>
      </c>
    </row>
    <row r="44" spans="1:8" ht="16.2" x14ac:dyDescent="0.35">
      <c r="A44" s="123"/>
      <c r="B44" s="41">
        <f>MONTH(TB_Entradas[[#This Row],[Data]])</f>
        <v>9</v>
      </c>
      <c r="C44" s="130">
        <v>44821</v>
      </c>
      <c r="D44" s="41" t="s">
        <v>28</v>
      </c>
      <c r="E44" s="41" t="s">
        <v>47</v>
      </c>
      <c r="F44" s="131">
        <v>50</v>
      </c>
      <c r="G44" s="133" cm="1">
        <f t="array" ref="G44">_xlfn.XLOOKUP(TB_Entradas[[#This Row],[Produto]],TB_Produtos[[#All],[Produto]],TB_Produtos[[#All],[Custo Unitário]],"Produto não Encontrado",0,1)</f>
        <v>4.5</v>
      </c>
      <c r="H44" s="133">
        <f>IFERROR(TB_Entradas[[#This Row],[Quantidade Comprada]]*TB_Entradas[[#This Row],[Custo Unitário]],"Erro ao calcular")</f>
        <v>225</v>
      </c>
    </row>
    <row r="45" spans="1:8" ht="16.2" x14ac:dyDescent="0.35">
      <c r="A45" s="123"/>
      <c r="B45" s="41">
        <f>MONTH(TB_Entradas[[#This Row],[Data]])</f>
        <v>9</v>
      </c>
      <c r="C45" s="130">
        <v>44823</v>
      </c>
      <c r="D45" s="41" t="s">
        <v>25</v>
      </c>
      <c r="E45" s="41" t="s">
        <v>56</v>
      </c>
      <c r="F45" s="131">
        <v>20</v>
      </c>
      <c r="G45" s="133" cm="1">
        <f t="array" ref="G45">_xlfn.XLOOKUP(TB_Entradas[[#This Row],[Produto]],TB_Produtos[[#All],[Produto]],TB_Produtos[[#All],[Custo Unitário]],"Produto não Encontrado",0,1)</f>
        <v>0.25</v>
      </c>
      <c r="H45" s="133">
        <f>IFERROR(TB_Entradas[[#This Row],[Quantidade Comprada]]*TB_Entradas[[#This Row],[Custo Unitário]],"Erro ao calcular")</f>
        <v>5</v>
      </c>
    </row>
    <row r="46" spans="1:8" ht="16.2" x14ac:dyDescent="0.35">
      <c r="A46" s="123"/>
      <c r="B46" s="41">
        <f>MONTH(TB_Entradas[[#This Row],[Data]])</f>
        <v>9</v>
      </c>
      <c r="C46" s="130">
        <v>44828</v>
      </c>
      <c r="D46" s="41" t="s">
        <v>10</v>
      </c>
      <c r="E46" s="41" t="s">
        <v>56</v>
      </c>
      <c r="F46" s="131">
        <v>15</v>
      </c>
      <c r="G46" s="133" cm="1">
        <f t="array" ref="G46">_xlfn.XLOOKUP(TB_Entradas[[#This Row],[Produto]],TB_Produtos[[#All],[Produto]],TB_Produtos[[#All],[Custo Unitário]],"Produto não Encontrado",0,1)</f>
        <v>0.5</v>
      </c>
      <c r="H46" s="133">
        <f>IFERROR(TB_Entradas[[#This Row],[Quantidade Comprada]]*TB_Entradas[[#This Row],[Custo Unitário]],"Erro ao calcular")</f>
        <v>7.5</v>
      </c>
    </row>
    <row r="47" spans="1:8" ht="16.2" x14ac:dyDescent="0.35">
      <c r="A47" s="123"/>
      <c r="B47" s="41">
        <f>MONTH(TB_Entradas[[#This Row],[Data]])</f>
        <v>9</v>
      </c>
      <c r="C47" s="130">
        <v>44834</v>
      </c>
      <c r="D47" s="41" t="s">
        <v>6</v>
      </c>
      <c r="E47" s="41" t="s">
        <v>43</v>
      </c>
      <c r="F47" s="131">
        <v>180</v>
      </c>
      <c r="G47" s="133" cm="1">
        <f t="array" ref="G47">_xlfn.XLOOKUP(TB_Entradas[[#This Row],[Produto]],TB_Produtos[[#All],[Produto]],TB_Produtos[[#All],[Custo Unitário]],"Produto não Encontrado",0,1)</f>
        <v>2</v>
      </c>
      <c r="H47" s="133">
        <f>IFERROR(TB_Entradas[[#This Row],[Quantidade Comprada]]*TB_Entradas[[#This Row],[Custo Unitário]],"Erro ao calcular")</f>
        <v>360</v>
      </c>
    </row>
    <row r="48" spans="1:8" ht="16.2" x14ac:dyDescent="0.35">
      <c r="A48" s="123"/>
      <c r="B48" s="41">
        <f>MONTH(TB_Entradas[[#This Row],[Data]])</f>
        <v>10</v>
      </c>
      <c r="C48" s="130">
        <v>44835</v>
      </c>
      <c r="D48" s="41" t="s">
        <v>19</v>
      </c>
      <c r="E48" s="41" t="s">
        <v>43</v>
      </c>
      <c r="F48" s="131">
        <v>46</v>
      </c>
      <c r="G48" s="133" cm="1">
        <f t="array" ref="G48">_xlfn.XLOOKUP(TB_Entradas[[#This Row],[Produto]],TB_Produtos[[#All],[Produto]],TB_Produtos[[#All],[Custo Unitário]],"Produto não Encontrado",0,1)</f>
        <v>0.25</v>
      </c>
      <c r="H48" s="133">
        <f>IFERROR(TB_Entradas[[#This Row],[Quantidade Comprada]]*TB_Entradas[[#This Row],[Custo Unitário]],"Erro ao calcular")</f>
        <v>11.5</v>
      </c>
    </row>
    <row r="49" spans="1:8" ht="16.2" x14ac:dyDescent="0.35">
      <c r="A49" s="123"/>
      <c r="B49" s="41">
        <f>MONTH(TB_Entradas[[#This Row],[Data]])</f>
        <v>10</v>
      </c>
      <c r="C49" s="130">
        <v>44841</v>
      </c>
      <c r="D49" s="41" t="s">
        <v>25</v>
      </c>
      <c r="E49" s="41" t="s">
        <v>56</v>
      </c>
      <c r="F49" s="131">
        <v>35</v>
      </c>
      <c r="G49" s="133" cm="1">
        <f t="array" ref="G49">_xlfn.XLOOKUP(TB_Entradas[[#This Row],[Produto]],TB_Produtos[[#All],[Produto]],TB_Produtos[[#All],[Custo Unitário]],"Produto não Encontrado",0,1)</f>
        <v>0.25</v>
      </c>
      <c r="H49" s="133">
        <f>IFERROR(TB_Entradas[[#This Row],[Quantidade Comprada]]*TB_Entradas[[#This Row],[Custo Unitário]],"Erro ao calcular")</f>
        <v>8.75</v>
      </c>
    </row>
    <row r="50" spans="1:8" ht="16.2" x14ac:dyDescent="0.35">
      <c r="A50" s="123"/>
      <c r="B50" s="41">
        <f>MONTH(TB_Entradas[[#This Row],[Data]])</f>
        <v>10</v>
      </c>
      <c r="C50" s="130">
        <v>44854</v>
      </c>
      <c r="D50" s="41" t="s">
        <v>6</v>
      </c>
      <c r="E50" s="41" t="s">
        <v>43</v>
      </c>
      <c r="F50" s="131">
        <v>100</v>
      </c>
      <c r="G50" s="133" cm="1">
        <f t="array" ref="G50">_xlfn.XLOOKUP(TB_Entradas[[#This Row],[Produto]],TB_Produtos[[#All],[Produto]],TB_Produtos[[#All],[Custo Unitário]],"Produto não Encontrado",0,1)</f>
        <v>2</v>
      </c>
      <c r="H50" s="133">
        <f>IFERROR(TB_Entradas[[#This Row],[Quantidade Comprada]]*TB_Entradas[[#This Row],[Custo Unitário]],"Erro ao calcular")</f>
        <v>200</v>
      </c>
    </row>
    <row r="51" spans="1:8" ht="16.2" x14ac:dyDescent="0.35">
      <c r="A51" s="123"/>
      <c r="B51" s="41">
        <f>MONTH(TB_Entradas[[#This Row],[Data]])</f>
        <v>10</v>
      </c>
      <c r="C51" s="130">
        <v>44859</v>
      </c>
      <c r="D51" s="41" t="s">
        <v>10</v>
      </c>
      <c r="E51" s="41" t="s">
        <v>56</v>
      </c>
      <c r="F51" s="131">
        <v>55</v>
      </c>
      <c r="G51" s="133" cm="1">
        <f t="array" ref="G51">_xlfn.XLOOKUP(TB_Entradas[[#This Row],[Produto]],TB_Produtos[[#All],[Produto]],TB_Produtos[[#All],[Custo Unitário]],"Produto não Encontrado",0,1)</f>
        <v>0.5</v>
      </c>
      <c r="H51" s="133">
        <f>IFERROR(TB_Entradas[[#This Row],[Quantidade Comprada]]*TB_Entradas[[#This Row],[Custo Unitário]],"Erro ao calcular")</f>
        <v>27.5</v>
      </c>
    </row>
    <row r="52" spans="1:8" ht="16.2" x14ac:dyDescent="0.35">
      <c r="A52" s="123"/>
      <c r="B52" s="41">
        <f>MONTH(TB_Entradas[[#This Row],[Data]])</f>
        <v>11</v>
      </c>
      <c r="C52" s="130">
        <v>44874</v>
      </c>
      <c r="D52" s="41" t="s">
        <v>29</v>
      </c>
      <c r="E52" s="41" t="s">
        <v>51</v>
      </c>
      <c r="F52" s="131">
        <v>100</v>
      </c>
      <c r="G52" s="133" cm="1">
        <f t="array" ref="G52">_xlfn.XLOOKUP(TB_Entradas[[#This Row],[Produto]],TB_Produtos[[#All],[Produto]],TB_Produtos[[#All],[Custo Unitário]],"Produto não Encontrado",0,1)</f>
        <v>0.25</v>
      </c>
      <c r="H52" s="133">
        <f>IFERROR(TB_Entradas[[#This Row],[Quantidade Comprada]]*TB_Entradas[[#This Row],[Custo Unitário]],"Erro ao calcular")</f>
        <v>25</v>
      </c>
    </row>
    <row r="53" spans="1:8" ht="16.2" x14ac:dyDescent="0.35">
      <c r="A53" s="123"/>
      <c r="B53" s="41">
        <f>MONTH(TB_Entradas[[#This Row],[Data]])</f>
        <v>11</v>
      </c>
      <c r="C53" s="130">
        <v>44880</v>
      </c>
      <c r="D53" s="41" t="s">
        <v>6</v>
      </c>
      <c r="E53" s="41" t="s">
        <v>43</v>
      </c>
      <c r="F53" s="131">
        <v>80</v>
      </c>
      <c r="G53" s="133" cm="1">
        <f t="array" ref="G53">_xlfn.XLOOKUP(TB_Entradas[[#This Row],[Produto]],TB_Produtos[[#All],[Produto]],TB_Produtos[[#All],[Custo Unitário]],"Produto não Encontrado",0,1)</f>
        <v>2</v>
      </c>
      <c r="H53" s="133">
        <f>IFERROR(TB_Entradas[[#This Row],[Quantidade Comprada]]*TB_Entradas[[#This Row],[Custo Unitário]],"Erro ao calcular")</f>
        <v>160</v>
      </c>
    </row>
    <row r="54" spans="1:8" ht="16.2" x14ac:dyDescent="0.35">
      <c r="A54" s="123"/>
      <c r="B54" s="41">
        <f>MONTH(TB_Entradas[[#This Row],[Data]])</f>
        <v>11</v>
      </c>
      <c r="C54" s="130">
        <v>44883</v>
      </c>
      <c r="D54" s="41" t="s">
        <v>19</v>
      </c>
      <c r="E54" s="41" t="s">
        <v>43</v>
      </c>
      <c r="F54" s="131">
        <v>45</v>
      </c>
      <c r="G54" s="133" cm="1">
        <f t="array" ref="G54">_xlfn.XLOOKUP(TB_Entradas[[#This Row],[Produto]],TB_Produtos[[#All],[Produto]],TB_Produtos[[#All],[Custo Unitário]],"Produto não Encontrado",0,1)</f>
        <v>0.25</v>
      </c>
      <c r="H54" s="133">
        <f>IFERROR(TB_Entradas[[#This Row],[Quantidade Comprada]]*TB_Entradas[[#This Row],[Custo Unitário]],"Erro ao calcular")</f>
        <v>11.25</v>
      </c>
    </row>
    <row r="55" spans="1:8" ht="16.2" x14ac:dyDescent="0.35">
      <c r="A55" s="123"/>
      <c r="B55" s="41">
        <f>MONTH(TB_Entradas[[#This Row],[Data]])</f>
        <v>11</v>
      </c>
      <c r="C55" s="130">
        <v>44888</v>
      </c>
      <c r="D55" s="41" t="s">
        <v>25</v>
      </c>
      <c r="E55" s="41" t="s">
        <v>56</v>
      </c>
      <c r="F55" s="131">
        <v>20</v>
      </c>
      <c r="G55" s="133" cm="1">
        <f t="array" ref="G55">_xlfn.XLOOKUP(TB_Entradas[[#This Row],[Produto]],TB_Produtos[[#All],[Produto]],TB_Produtos[[#All],[Custo Unitário]],"Produto não Encontrado",0,1)</f>
        <v>0.25</v>
      </c>
      <c r="H55" s="133">
        <f>IFERROR(TB_Entradas[[#This Row],[Quantidade Comprada]]*TB_Entradas[[#This Row],[Custo Unitário]],"Erro ao calcular")</f>
        <v>5</v>
      </c>
    </row>
    <row r="56" spans="1:8" ht="16.2" x14ac:dyDescent="0.35">
      <c r="A56" s="123"/>
      <c r="B56" s="41">
        <f>MONTH(TB_Entradas[[#This Row],[Data]])</f>
        <v>11</v>
      </c>
      <c r="C56" s="130">
        <v>44895</v>
      </c>
      <c r="D56" s="41" t="s">
        <v>10</v>
      </c>
      <c r="E56" s="41" t="s">
        <v>56</v>
      </c>
      <c r="F56" s="131">
        <v>35</v>
      </c>
      <c r="G56" s="133" cm="1">
        <f t="array" ref="G56">_xlfn.XLOOKUP(TB_Entradas[[#This Row],[Produto]],TB_Produtos[[#All],[Produto]],TB_Produtos[[#All],[Custo Unitário]],"Produto não Encontrado",0,1)</f>
        <v>0.5</v>
      </c>
      <c r="H56" s="133">
        <f>IFERROR(TB_Entradas[[#This Row],[Quantidade Comprada]]*TB_Entradas[[#This Row],[Custo Unitário]],"Erro ao calcular")</f>
        <v>17.5</v>
      </c>
    </row>
    <row r="57" spans="1:8" ht="16.2" x14ac:dyDescent="0.35">
      <c r="A57" s="123"/>
      <c r="B57" s="41">
        <f>MONTH(TB_Entradas[[#This Row],[Data]])</f>
        <v>12</v>
      </c>
      <c r="C57" s="130">
        <v>44907</v>
      </c>
      <c r="D57" s="41" t="s">
        <v>6</v>
      </c>
      <c r="E57" s="41" t="s">
        <v>43</v>
      </c>
      <c r="F57" s="132">
        <v>200</v>
      </c>
      <c r="G57" s="133" cm="1">
        <f t="array" ref="G57">_xlfn.XLOOKUP(TB_Entradas[[#This Row],[Produto]],TB_Produtos[[#All],[Produto]],TB_Produtos[[#All],[Custo Unitário]],"Produto não Encontrado",0,1)</f>
        <v>2</v>
      </c>
      <c r="H57" s="133">
        <f>IFERROR(TB_Entradas[[#This Row],[Quantidade Comprada]]*TB_Entradas[[#This Row],[Custo Unitário]],"Erro ao calcular")</f>
        <v>400</v>
      </c>
    </row>
    <row r="58" spans="1:8" ht="16.2" x14ac:dyDescent="0.35">
      <c r="A58" s="123"/>
      <c r="B58" s="41">
        <f>MONTH(TB_Entradas[[#This Row],[Data]])</f>
        <v>12</v>
      </c>
      <c r="C58" s="130">
        <v>44910</v>
      </c>
      <c r="D58" s="41" t="s">
        <v>19</v>
      </c>
      <c r="E58" s="41" t="s">
        <v>43</v>
      </c>
      <c r="F58" s="132">
        <v>40</v>
      </c>
      <c r="G58" s="133" cm="1">
        <f t="array" ref="G58">_xlfn.XLOOKUP(TB_Entradas[[#This Row],[Produto]],TB_Produtos[[#All],[Produto]],TB_Produtos[[#All],[Custo Unitário]],"Produto não Encontrado",0,1)</f>
        <v>0.25</v>
      </c>
      <c r="H58" s="133">
        <f>IFERROR(TB_Entradas[[#This Row],[Quantidade Comprada]]*TB_Entradas[[#This Row],[Custo Unitário]],"Erro ao calcular")</f>
        <v>10</v>
      </c>
    </row>
  </sheetData>
  <dataValidations count="1">
    <dataValidation type="list" allowBlank="1" showInputMessage="1" showErrorMessage="1" sqref="D5:D58" xr:uid="{30B5F2FC-77F0-434A-8A4F-A5BAEF973762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41A-892F-4677-8FC0-DD6D99AB3FB4}">
  <sheetPr>
    <tabColor rgb="FFB39563"/>
  </sheetPr>
  <dimension ref="B1:G63"/>
  <sheetViews>
    <sheetView showGridLines="0" zoomScaleNormal="100" workbookViewId="0">
      <pane ySplit="4" topLeftCell="A5" activePane="bottomLeft" state="frozen"/>
      <selection activeCell="A2" sqref="A2:XFD3"/>
      <selection pane="bottomLeft" activeCell="D16" sqref="D16"/>
    </sheetView>
  </sheetViews>
  <sheetFormatPr defaultColWidth="9.109375" defaultRowHeight="14.4" x14ac:dyDescent="0.3"/>
  <cols>
    <col min="1" max="1" width="5.33203125" customWidth="1"/>
    <col min="2" max="2" width="10.88671875" style="2" customWidth="1"/>
    <col min="3" max="3" width="15.33203125" customWidth="1"/>
    <col min="4" max="4" width="20.88671875" customWidth="1"/>
    <col min="5" max="5" width="23.33203125" customWidth="1"/>
    <col min="6" max="6" width="17.33203125" customWidth="1"/>
    <col min="7" max="7" width="17.5546875" customWidth="1"/>
  </cols>
  <sheetData>
    <row r="1" spans="2:7" s="29" customFormat="1" ht="60" customHeight="1" x14ac:dyDescent="0.3">
      <c r="E1" s="37" t="s">
        <v>65</v>
      </c>
      <c r="F1" s="30"/>
    </row>
    <row r="2" spans="2:7" s="32" customFormat="1" ht="6" customHeight="1" x14ac:dyDescent="0.3">
      <c r="F2" s="33"/>
    </row>
    <row r="3" spans="2:7" ht="6" customHeight="1" x14ac:dyDescent="0.3">
      <c r="B3"/>
      <c r="F3" s="1"/>
    </row>
    <row r="4" spans="2:7" x14ac:dyDescent="0.3">
      <c r="B4" s="125" t="s">
        <v>108</v>
      </c>
      <c r="C4" s="125" t="s">
        <v>61</v>
      </c>
      <c r="D4" s="125" t="s">
        <v>1</v>
      </c>
      <c r="E4" s="125" t="s">
        <v>66</v>
      </c>
      <c r="F4" s="125" t="s">
        <v>5</v>
      </c>
      <c r="G4" s="125" t="s">
        <v>67</v>
      </c>
    </row>
    <row r="5" spans="2:7" ht="16.2" x14ac:dyDescent="0.35">
      <c r="B5" s="42">
        <f>MONTH(TB_Saídas[[#This Row],[Data]])</f>
        <v>1</v>
      </c>
      <c r="C5" s="40">
        <v>44566</v>
      </c>
      <c r="D5" s="41" t="s">
        <v>10</v>
      </c>
      <c r="E5" s="35">
        <v>30</v>
      </c>
      <c r="F5" s="126" cm="1">
        <f t="array" ref="F5">_xlfn.XLOOKUP(TB_Saídas[[#This Row],[Produto]],TB_Produtos[[#All],[Produto]],TB_Produtos[[#All],[Preço Unitário]],"Produto não Encontrado",0,1)</f>
        <v>6.5</v>
      </c>
      <c r="G5" s="127">
        <f>IFERROR(TB_Saídas[[#This Row],[Quantidade Vendida]]*TB_Saídas[[#This Row],[Preço Unitário]],"Não foi possível calcular")</f>
        <v>195</v>
      </c>
    </row>
    <row r="6" spans="2:7" ht="16.2" x14ac:dyDescent="0.35">
      <c r="B6" s="42">
        <f>MONTH(TB_Saídas[[#This Row],[Data]])</f>
        <v>1</v>
      </c>
      <c r="C6" s="40">
        <v>44567</v>
      </c>
      <c r="D6" s="41" t="s">
        <v>6</v>
      </c>
      <c r="E6" s="35">
        <v>80</v>
      </c>
      <c r="F6" s="126" cm="1">
        <f t="array" ref="F6">_xlfn.XLOOKUP(TB_Saídas[[#This Row],[Produto]],TB_Produtos[[#All],[Produto]],TB_Produtos[[#All],[Preço Unitário]],"Produto não Encontrado",0,1)</f>
        <v>6</v>
      </c>
      <c r="G6" s="127">
        <f>IFERROR(TB_Saídas[[#This Row],[Quantidade Vendida]]*TB_Saídas[[#This Row],[Preço Unitário]],"Não foi possível calcular")</f>
        <v>480</v>
      </c>
    </row>
    <row r="7" spans="2:7" ht="16.2" x14ac:dyDescent="0.35">
      <c r="B7" s="42">
        <f>MONTH(TB_Saídas[[#This Row],[Data]])</f>
        <v>1</v>
      </c>
      <c r="C7" s="40">
        <v>44581</v>
      </c>
      <c r="D7" s="41" t="s">
        <v>25</v>
      </c>
      <c r="E7" s="35">
        <v>50</v>
      </c>
      <c r="F7" s="126" cm="1">
        <f t="array" ref="F7">_xlfn.XLOOKUP(TB_Saídas[[#This Row],[Produto]],TB_Produtos[[#All],[Produto]],TB_Produtos[[#All],[Preço Unitário]],"Produto não Encontrado",0,1)</f>
        <v>7.5</v>
      </c>
      <c r="G7" s="127">
        <f>IFERROR(TB_Saídas[[#This Row],[Quantidade Vendida]]*TB_Saídas[[#This Row],[Preço Unitário]],"Não foi possível calcular")</f>
        <v>375</v>
      </c>
    </row>
    <row r="8" spans="2:7" ht="16.2" x14ac:dyDescent="0.35">
      <c r="B8" s="42">
        <f>MONTH(TB_Saídas[[#This Row],[Data]])</f>
        <v>1</v>
      </c>
      <c r="C8" s="40">
        <v>44586</v>
      </c>
      <c r="D8" s="41" t="s">
        <v>19</v>
      </c>
      <c r="E8" s="35">
        <v>50</v>
      </c>
      <c r="F8" s="126" cm="1">
        <f t="array" ref="F8">_xlfn.XLOOKUP(TB_Saídas[[#This Row],[Produto]],TB_Produtos[[#All],[Produto]],TB_Produtos[[#All],[Preço Unitário]],"Produto não Encontrado",0,1)</f>
        <v>8.5</v>
      </c>
      <c r="G8" s="127">
        <f>IFERROR(TB_Saídas[[#This Row],[Quantidade Vendida]]*TB_Saídas[[#This Row],[Preço Unitário]],"Não foi possível calcular")</f>
        <v>425</v>
      </c>
    </row>
    <row r="9" spans="2:7" ht="16.2" x14ac:dyDescent="0.35">
      <c r="B9" s="42">
        <f>MONTH(TB_Saídas[[#This Row],[Data]])</f>
        <v>2</v>
      </c>
      <c r="C9" s="40">
        <v>44597</v>
      </c>
      <c r="D9" s="41" t="s">
        <v>25</v>
      </c>
      <c r="E9" s="35">
        <v>30</v>
      </c>
      <c r="F9" s="126" cm="1">
        <f t="array" ref="F9">_xlfn.XLOOKUP(TB_Saídas[[#This Row],[Produto]],TB_Produtos[[#All],[Produto]],TB_Produtos[[#All],[Preço Unitário]],"Produto não Encontrado",0,1)</f>
        <v>7.5</v>
      </c>
      <c r="G9" s="127">
        <f>IFERROR(TB_Saídas[[#This Row],[Quantidade Vendida]]*TB_Saídas[[#This Row],[Preço Unitário]],"Não foi possível calcular")</f>
        <v>225</v>
      </c>
    </row>
    <row r="10" spans="2:7" ht="16.2" x14ac:dyDescent="0.35">
      <c r="B10" s="42">
        <f>MONTH(TB_Saídas[[#This Row],[Data]])</f>
        <v>2</v>
      </c>
      <c r="C10" s="40">
        <v>44598</v>
      </c>
      <c r="D10" s="41" t="s">
        <v>6</v>
      </c>
      <c r="E10" s="35">
        <v>110</v>
      </c>
      <c r="F10" s="126" cm="1">
        <f t="array" ref="F10">_xlfn.XLOOKUP(TB_Saídas[[#This Row],[Produto]],TB_Produtos[[#All],[Produto]],TB_Produtos[[#All],[Preço Unitário]],"Produto não Encontrado",0,1)</f>
        <v>6</v>
      </c>
      <c r="G10" s="127">
        <f>IFERROR(TB_Saídas[[#This Row],[Quantidade Vendida]]*TB_Saídas[[#This Row],[Preço Unitário]],"Não foi possível calcular")</f>
        <v>660</v>
      </c>
    </row>
    <row r="11" spans="2:7" ht="16.2" x14ac:dyDescent="0.35">
      <c r="B11" s="42">
        <f>MONTH(TB_Saídas[[#This Row],[Data]])</f>
        <v>2</v>
      </c>
      <c r="C11" s="40">
        <v>44602</v>
      </c>
      <c r="D11" s="41" t="s">
        <v>19</v>
      </c>
      <c r="E11" s="35">
        <v>75</v>
      </c>
      <c r="F11" s="126" cm="1">
        <f t="array" ref="F11">_xlfn.XLOOKUP(TB_Saídas[[#This Row],[Produto]],TB_Produtos[[#All],[Produto]],TB_Produtos[[#All],[Preço Unitário]],"Produto não Encontrado",0,1)</f>
        <v>8.5</v>
      </c>
      <c r="G11" s="127">
        <f>IFERROR(TB_Saídas[[#This Row],[Quantidade Vendida]]*TB_Saídas[[#This Row],[Preço Unitário]],"Não foi possível calcular")</f>
        <v>637.5</v>
      </c>
    </row>
    <row r="12" spans="2:7" ht="16.2" x14ac:dyDescent="0.35">
      <c r="B12" s="42">
        <f>MONTH(TB_Saídas[[#This Row],[Data]])</f>
        <v>2</v>
      </c>
      <c r="C12" s="40">
        <v>44620</v>
      </c>
      <c r="D12" s="41" t="s">
        <v>10</v>
      </c>
      <c r="E12" s="35">
        <v>20</v>
      </c>
      <c r="F12" s="126" cm="1">
        <f t="array" ref="F12">_xlfn.XLOOKUP(TB_Saídas[[#This Row],[Produto]],TB_Produtos[[#All],[Produto]],TB_Produtos[[#All],[Preço Unitário]],"Produto não Encontrado",0,1)</f>
        <v>6.5</v>
      </c>
      <c r="G12" s="127">
        <f>IFERROR(TB_Saídas[[#This Row],[Quantidade Vendida]]*TB_Saídas[[#This Row],[Preço Unitário]],"Não foi possível calcular")</f>
        <v>130</v>
      </c>
    </row>
    <row r="13" spans="2:7" ht="16.2" x14ac:dyDescent="0.35">
      <c r="B13" s="42">
        <f>MONTH(TB_Saídas[[#This Row],[Data]])</f>
        <v>3</v>
      </c>
      <c r="C13" s="40">
        <v>44626</v>
      </c>
      <c r="D13" s="41" t="s">
        <v>36</v>
      </c>
      <c r="E13" s="35">
        <v>110</v>
      </c>
      <c r="F13" s="126" cm="1">
        <f t="array" ref="F13">_xlfn.XLOOKUP(TB_Saídas[[#This Row],[Produto]],TB_Produtos[[#All],[Produto]],TB_Produtos[[#All],[Preço Unitário]],"Produto não Encontrado",0,1)</f>
        <v>8</v>
      </c>
      <c r="G13" s="127">
        <f>IFERROR(TB_Saídas[[#This Row],[Quantidade Vendida]]*TB_Saídas[[#This Row],[Preço Unitário]],"Não foi possível calcular")</f>
        <v>880</v>
      </c>
    </row>
    <row r="14" spans="2:7" ht="16.2" x14ac:dyDescent="0.35">
      <c r="B14" s="42">
        <f>MONTH(TB_Saídas[[#This Row],[Data]])</f>
        <v>3</v>
      </c>
      <c r="C14" s="40">
        <v>44631</v>
      </c>
      <c r="D14" s="41" t="s">
        <v>25</v>
      </c>
      <c r="E14" s="35">
        <v>40</v>
      </c>
      <c r="F14" s="126" cm="1">
        <f t="array" ref="F14">_xlfn.XLOOKUP(TB_Saídas[[#This Row],[Produto]],TB_Produtos[[#All],[Produto]],TB_Produtos[[#All],[Preço Unitário]],"Produto não Encontrado",0,1)</f>
        <v>7.5</v>
      </c>
      <c r="G14" s="127">
        <f>IFERROR(TB_Saídas[[#This Row],[Quantidade Vendida]]*TB_Saídas[[#This Row],[Preço Unitário]],"Não foi possível calcular")</f>
        <v>300</v>
      </c>
    </row>
    <row r="15" spans="2:7" ht="16.2" x14ac:dyDescent="0.35">
      <c r="B15" s="42">
        <f>MONTH(TB_Saídas[[#This Row],[Data]])</f>
        <v>3</v>
      </c>
      <c r="C15" s="40">
        <v>44646</v>
      </c>
      <c r="D15" s="41" t="s">
        <v>19</v>
      </c>
      <c r="E15" s="35">
        <v>50</v>
      </c>
      <c r="F15" s="126" cm="1">
        <f t="array" ref="F15">_xlfn.XLOOKUP(TB_Saídas[[#This Row],[Produto]],TB_Produtos[[#All],[Produto]],TB_Produtos[[#All],[Preço Unitário]],"Produto não Encontrado",0,1)</f>
        <v>8.5</v>
      </c>
      <c r="G15" s="127">
        <f>IFERROR(TB_Saídas[[#This Row],[Quantidade Vendida]]*TB_Saídas[[#This Row],[Preço Unitário]],"Não foi possível calcular")</f>
        <v>425</v>
      </c>
    </row>
    <row r="16" spans="2:7" ht="16.2" x14ac:dyDescent="0.35">
      <c r="B16" s="42">
        <f>MONTH(TB_Saídas[[#This Row],[Data]])</f>
        <v>3</v>
      </c>
      <c r="C16" s="40">
        <v>44649</v>
      </c>
      <c r="D16" s="41" t="s">
        <v>10</v>
      </c>
      <c r="E16" s="35">
        <v>15</v>
      </c>
      <c r="F16" s="126" cm="1">
        <f t="array" ref="F16">_xlfn.XLOOKUP(TB_Saídas[[#This Row],[Produto]],TB_Produtos[[#All],[Produto]],TB_Produtos[[#All],[Preço Unitário]],"Produto não Encontrado",0,1)</f>
        <v>6.5</v>
      </c>
      <c r="G16" s="127">
        <f>IFERROR(TB_Saídas[[#This Row],[Quantidade Vendida]]*TB_Saídas[[#This Row],[Preço Unitário]],"Não foi possível calcular")</f>
        <v>97.5</v>
      </c>
    </row>
    <row r="17" spans="2:7" ht="16.2" x14ac:dyDescent="0.35">
      <c r="B17" s="42">
        <f>MONTH(TB_Saídas[[#This Row],[Data]])</f>
        <v>3</v>
      </c>
      <c r="C17" s="40">
        <v>44630</v>
      </c>
      <c r="D17" s="41" t="s">
        <v>6</v>
      </c>
      <c r="E17" s="35">
        <v>100</v>
      </c>
      <c r="F17" s="126" cm="1">
        <f t="array" ref="F17">_xlfn.XLOOKUP(TB_Saídas[[#This Row],[Produto]],TB_Produtos[[#All],[Produto]],TB_Produtos[[#All],[Preço Unitário]],"Produto não Encontrado",0,1)</f>
        <v>6</v>
      </c>
      <c r="G17" s="127">
        <f>IFERROR(TB_Saídas[[#This Row],[Quantidade Vendida]]*TB_Saídas[[#This Row],[Preço Unitário]],"Não foi possível calcular")</f>
        <v>600</v>
      </c>
    </row>
    <row r="18" spans="2:7" ht="16.2" x14ac:dyDescent="0.35">
      <c r="B18" s="42">
        <f>MONTH(TB_Saídas[[#This Row],[Data]])</f>
        <v>4</v>
      </c>
      <c r="C18" s="40">
        <v>44659</v>
      </c>
      <c r="D18" s="41" t="s">
        <v>10</v>
      </c>
      <c r="E18" s="35">
        <v>40</v>
      </c>
      <c r="F18" s="126" cm="1">
        <f t="array" ref="F18">_xlfn.XLOOKUP(TB_Saídas[[#This Row],[Produto]],TB_Produtos[[#All],[Produto]],TB_Produtos[[#All],[Preço Unitário]],"Produto não Encontrado",0,1)</f>
        <v>6.5</v>
      </c>
      <c r="G18" s="127">
        <f>IFERROR(TB_Saídas[[#This Row],[Quantidade Vendida]]*TB_Saídas[[#This Row],[Preço Unitário]],"Não foi possível calcular")</f>
        <v>260</v>
      </c>
    </row>
    <row r="19" spans="2:7" ht="16.2" x14ac:dyDescent="0.35">
      <c r="B19" s="42">
        <f>MONTH(TB_Saídas[[#This Row],[Data]])</f>
        <v>4</v>
      </c>
      <c r="C19" s="40">
        <v>44663</v>
      </c>
      <c r="D19" s="41" t="s">
        <v>6</v>
      </c>
      <c r="E19" s="35">
        <v>75</v>
      </c>
      <c r="F19" s="126" cm="1">
        <f t="array" ref="F19">_xlfn.XLOOKUP(TB_Saídas[[#This Row],[Produto]],TB_Produtos[[#All],[Produto]],TB_Produtos[[#All],[Preço Unitário]],"Produto não Encontrado",0,1)</f>
        <v>6</v>
      </c>
      <c r="G19" s="127">
        <f>IFERROR(TB_Saídas[[#This Row],[Quantidade Vendida]]*TB_Saídas[[#This Row],[Preço Unitário]],"Não foi possível calcular")</f>
        <v>450</v>
      </c>
    </row>
    <row r="20" spans="2:7" ht="16.2" x14ac:dyDescent="0.35">
      <c r="B20" s="42">
        <f>MONTH(TB_Saídas[[#This Row],[Data]])</f>
        <v>4</v>
      </c>
      <c r="C20" s="40">
        <v>44667</v>
      </c>
      <c r="D20" s="41" t="s">
        <v>31</v>
      </c>
      <c r="E20" s="35">
        <v>25</v>
      </c>
      <c r="F20" s="126" cm="1">
        <f t="array" ref="F20">_xlfn.XLOOKUP(TB_Saídas[[#This Row],[Produto]],TB_Produtos[[#All],[Produto]],TB_Produtos[[#All],[Preço Unitário]],"Produto não Encontrado",0,1)</f>
        <v>8</v>
      </c>
      <c r="G20" s="127">
        <f>IFERROR(TB_Saídas[[#This Row],[Quantidade Vendida]]*TB_Saídas[[#This Row],[Preço Unitário]],"Não foi possível calcular")</f>
        <v>200</v>
      </c>
    </row>
    <row r="21" spans="2:7" ht="16.2" x14ac:dyDescent="0.35">
      <c r="B21" s="42">
        <f>MONTH(TB_Saídas[[#This Row],[Data]])</f>
        <v>4</v>
      </c>
      <c r="C21" s="40">
        <v>44671</v>
      </c>
      <c r="D21" s="41" t="s">
        <v>25</v>
      </c>
      <c r="E21" s="35">
        <v>40</v>
      </c>
      <c r="F21" s="126" cm="1">
        <f t="array" ref="F21">_xlfn.XLOOKUP(TB_Saídas[[#This Row],[Produto]],TB_Produtos[[#All],[Produto]],TB_Produtos[[#All],[Preço Unitário]],"Produto não Encontrado",0,1)</f>
        <v>7.5</v>
      </c>
      <c r="G21" s="127">
        <f>IFERROR(TB_Saídas[[#This Row],[Quantidade Vendida]]*TB_Saídas[[#This Row],[Preço Unitário]],"Não foi possível calcular")</f>
        <v>300</v>
      </c>
    </row>
    <row r="22" spans="2:7" ht="16.2" x14ac:dyDescent="0.35">
      <c r="B22" s="42">
        <f>MONTH(TB_Saídas[[#This Row],[Data]])</f>
        <v>4</v>
      </c>
      <c r="C22" s="40">
        <v>44681</v>
      </c>
      <c r="D22" s="41" t="s">
        <v>19</v>
      </c>
      <c r="E22" s="35">
        <v>35</v>
      </c>
      <c r="F22" s="126" cm="1">
        <f t="array" ref="F22">_xlfn.XLOOKUP(TB_Saídas[[#This Row],[Produto]],TB_Produtos[[#All],[Produto]],TB_Produtos[[#All],[Preço Unitário]],"Produto não Encontrado",0,1)</f>
        <v>8.5</v>
      </c>
      <c r="G22" s="127">
        <f>IFERROR(TB_Saídas[[#This Row],[Quantidade Vendida]]*TB_Saídas[[#This Row],[Preço Unitário]],"Não foi possível calcular")</f>
        <v>297.5</v>
      </c>
    </row>
    <row r="23" spans="2:7" ht="16.2" x14ac:dyDescent="0.35">
      <c r="B23" s="42">
        <f>MONTH(TB_Saídas[[#This Row],[Data]])</f>
        <v>5</v>
      </c>
      <c r="C23" s="40">
        <v>44691</v>
      </c>
      <c r="D23" s="41" t="s">
        <v>25</v>
      </c>
      <c r="E23" s="35">
        <v>35</v>
      </c>
      <c r="F23" s="126" cm="1">
        <f t="array" ref="F23">_xlfn.XLOOKUP(TB_Saídas[[#This Row],[Produto]],TB_Produtos[[#All],[Produto]],TB_Produtos[[#All],[Preço Unitário]],"Produto não Encontrado",0,1)</f>
        <v>7.5</v>
      </c>
      <c r="G23" s="127">
        <f>IFERROR(TB_Saídas[[#This Row],[Quantidade Vendida]]*TB_Saídas[[#This Row],[Preço Unitário]],"Não foi possível calcular")</f>
        <v>262.5</v>
      </c>
    </row>
    <row r="24" spans="2:7" ht="16.2" x14ac:dyDescent="0.35">
      <c r="B24" s="42">
        <f>MONTH(TB_Saídas[[#This Row],[Data]])</f>
        <v>5</v>
      </c>
      <c r="C24" s="40">
        <v>44692</v>
      </c>
      <c r="D24" s="41" t="s">
        <v>27</v>
      </c>
      <c r="E24" s="35">
        <v>20</v>
      </c>
      <c r="F24" s="126" cm="1">
        <f t="array" ref="F24">_xlfn.XLOOKUP(TB_Saídas[[#This Row],[Produto]],TB_Produtos[[#All],[Produto]],TB_Produtos[[#All],[Preço Unitário]],"Produto não Encontrado",0,1)</f>
        <v>15</v>
      </c>
      <c r="G24" s="127">
        <f>IFERROR(TB_Saídas[[#This Row],[Quantidade Vendida]]*TB_Saídas[[#This Row],[Preço Unitário]],"Não foi possível calcular")</f>
        <v>300</v>
      </c>
    </row>
    <row r="25" spans="2:7" ht="16.2" x14ac:dyDescent="0.35">
      <c r="B25" s="42">
        <f>MONTH(TB_Saídas[[#This Row],[Data]])</f>
        <v>5</v>
      </c>
      <c r="C25" s="40">
        <v>44692</v>
      </c>
      <c r="D25" s="41" t="s">
        <v>6</v>
      </c>
      <c r="E25" s="35">
        <v>75</v>
      </c>
      <c r="F25" s="126" cm="1">
        <f t="array" ref="F25">_xlfn.XLOOKUP(TB_Saídas[[#This Row],[Produto]],TB_Produtos[[#All],[Produto]],TB_Produtos[[#All],[Preço Unitário]],"Produto não Encontrado",0,1)</f>
        <v>6</v>
      </c>
      <c r="G25" s="127">
        <f>IFERROR(TB_Saídas[[#This Row],[Quantidade Vendida]]*TB_Saídas[[#This Row],[Preço Unitário]],"Não foi possível calcular")</f>
        <v>450</v>
      </c>
    </row>
    <row r="26" spans="2:7" ht="16.2" x14ac:dyDescent="0.35">
      <c r="B26" s="42">
        <f>MONTH(TB_Saídas[[#This Row],[Data]])</f>
        <v>5</v>
      </c>
      <c r="C26" s="40">
        <v>44700</v>
      </c>
      <c r="D26" s="41" t="s">
        <v>19</v>
      </c>
      <c r="E26" s="35">
        <v>27</v>
      </c>
      <c r="F26" s="126" cm="1">
        <f t="array" ref="F26">_xlfn.XLOOKUP(TB_Saídas[[#This Row],[Produto]],TB_Produtos[[#All],[Produto]],TB_Produtos[[#All],[Preço Unitário]],"Produto não Encontrado",0,1)</f>
        <v>8.5</v>
      </c>
      <c r="G26" s="127">
        <f>IFERROR(TB_Saídas[[#This Row],[Quantidade Vendida]]*TB_Saídas[[#This Row],[Preço Unitário]],"Não foi possível calcular")</f>
        <v>229.5</v>
      </c>
    </row>
    <row r="27" spans="2:7" ht="16.2" x14ac:dyDescent="0.35">
      <c r="B27" s="42">
        <f>MONTH(TB_Saídas[[#This Row],[Data]])</f>
        <v>5</v>
      </c>
      <c r="C27" s="40">
        <v>44700</v>
      </c>
      <c r="D27" s="41" t="s">
        <v>10</v>
      </c>
      <c r="E27" s="35">
        <v>20</v>
      </c>
      <c r="F27" s="126" cm="1">
        <f t="array" ref="F27">_xlfn.XLOOKUP(TB_Saídas[[#This Row],[Produto]],TB_Produtos[[#All],[Produto]],TB_Produtos[[#All],[Preço Unitário]],"Produto não Encontrado",0,1)</f>
        <v>6.5</v>
      </c>
      <c r="G27" s="127">
        <f>IFERROR(TB_Saídas[[#This Row],[Quantidade Vendida]]*TB_Saídas[[#This Row],[Preço Unitário]],"Não foi possível calcular")</f>
        <v>130</v>
      </c>
    </row>
    <row r="28" spans="2:7" ht="16.2" x14ac:dyDescent="0.35">
      <c r="B28" s="42">
        <f>MONTH(TB_Saídas[[#This Row],[Data]])</f>
        <v>6</v>
      </c>
      <c r="C28" s="40">
        <v>44737</v>
      </c>
      <c r="D28" s="41" t="s">
        <v>19</v>
      </c>
      <c r="E28" s="35">
        <v>35</v>
      </c>
      <c r="F28" s="126" cm="1">
        <f t="array" ref="F28">_xlfn.XLOOKUP(TB_Saídas[[#This Row],[Produto]],TB_Produtos[[#All],[Produto]],TB_Produtos[[#All],[Preço Unitário]],"Produto não Encontrado",0,1)</f>
        <v>8.5</v>
      </c>
      <c r="G28" s="127">
        <f>IFERROR(TB_Saídas[[#This Row],[Quantidade Vendida]]*TB_Saídas[[#This Row],[Preço Unitário]],"Não foi possível calcular")</f>
        <v>297.5</v>
      </c>
    </row>
    <row r="29" spans="2:7" ht="16.2" x14ac:dyDescent="0.35">
      <c r="B29" s="42">
        <f>MONTH(TB_Saídas[[#This Row],[Data]])</f>
        <v>6</v>
      </c>
      <c r="C29" s="40">
        <v>44738</v>
      </c>
      <c r="D29" s="41" t="s">
        <v>6</v>
      </c>
      <c r="E29" s="35">
        <v>100</v>
      </c>
      <c r="F29" s="126" cm="1">
        <f t="array" ref="F29">_xlfn.XLOOKUP(TB_Saídas[[#This Row],[Produto]],TB_Produtos[[#All],[Produto]],TB_Produtos[[#All],[Preço Unitário]],"Produto não Encontrado",0,1)</f>
        <v>6</v>
      </c>
      <c r="G29" s="127">
        <f>IFERROR(TB_Saídas[[#This Row],[Quantidade Vendida]]*TB_Saídas[[#This Row],[Preço Unitário]],"Não foi possível calcular")</f>
        <v>600</v>
      </c>
    </row>
    <row r="30" spans="2:7" ht="16.2" x14ac:dyDescent="0.35">
      <c r="B30" s="42">
        <f>MONTH(TB_Saídas[[#This Row],[Data]])</f>
        <v>6</v>
      </c>
      <c r="C30" s="40">
        <v>44738</v>
      </c>
      <c r="D30" s="41" t="s">
        <v>25</v>
      </c>
      <c r="E30" s="35">
        <v>20</v>
      </c>
      <c r="F30" s="126" cm="1">
        <f t="array" ref="F30">_xlfn.XLOOKUP(TB_Saídas[[#This Row],[Produto]],TB_Produtos[[#All],[Produto]],TB_Produtos[[#All],[Preço Unitário]],"Produto não Encontrado",0,1)</f>
        <v>7.5</v>
      </c>
      <c r="G30" s="127">
        <f>IFERROR(TB_Saídas[[#This Row],[Quantidade Vendida]]*TB_Saídas[[#This Row],[Preço Unitário]],"Não foi possível calcular")</f>
        <v>150</v>
      </c>
    </row>
    <row r="31" spans="2:7" ht="16.2" x14ac:dyDescent="0.35">
      <c r="B31" s="42">
        <f>MONTH(TB_Saídas[[#This Row],[Data]])</f>
        <v>6</v>
      </c>
      <c r="C31" s="40">
        <v>44739</v>
      </c>
      <c r="D31" s="41" t="s">
        <v>10</v>
      </c>
      <c r="E31" s="35">
        <v>15</v>
      </c>
      <c r="F31" s="126" cm="1">
        <f t="array" ref="F31">_xlfn.XLOOKUP(TB_Saídas[[#This Row],[Produto]],TB_Produtos[[#All],[Produto]],TB_Produtos[[#All],[Preço Unitário]],"Produto não Encontrado",0,1)</f>
        <v>6.5</v>
      </c>
      <c r="G31" s="127">
        <f>IFERROR(TB_Saídas[[#This Row],[Quantidade Vendida]]*TB_Saídas[[#This Row],[Preço Unitário]],"Não foi possível calcular")</f>
        <v>97.5</v>
      </c>
    </row>
    <row r="32" spans="2:7" ht="16.2" x14ac:dyDescent="0.35">
      <c r="B32" s="42">
        <f>MONTH(TB_Saídas[[#This Row],[Data]])</f>
        <v>7</v>
      </c>
      <c r="C32" s="40">
        <v>44749</v>
      </c>
      <c r="D32" s="41" t="s">
        <v>26</v>
      </c>
      <c r="E32" s="35">
        <v>40</v>
      </c>
      <c r="F32" s="126" cm="1">
        <f t="array" ref="F32">_xlfn.XLOOKUP(TB_Saídas[[#This Row],[Produto]],TB_Produtos[[#All],[Produto]],TB_Produtos[[#All],[Preço Unitário]],"Produto não Encontrado",0,1)</f>
        <v>10</v>
      </c>
      <c r="G32" s="127">
        <f>IFERROR(TB_Saídas[[#This Row],[Quantidade Vendida]]*TB_Saídas[[#This Row],[Preço Unitário]],"Não foi possível calcular")</f>
        <v>400</v>
      </c>
    </row>
    <row r="33" spans="2:7" ht="16.2" x14ac:dyDescent="0.35">
      <c r="B33" s="42">
        <f>MONTH(TB_Saídas[[#This Row],[Data]])</f>
        <v>7</v>
      </c>
      <c r="C33" s="40">
        <v>44749</v>
      </c>
      <c r="D33" s="41" t="s">
        <v>6</v>
      </c>
      <c r="E33" s="35">
        <v>90</v>
      </c>
      <c r="F33" s="126" cm="1">
        <f t="array" ref="F33">_xlfn.XLOOKUP(TB_Saídas[[#This Row],[Produto]],TB_Produtos[[#All],[Produto]],TB_Produtos[[#All],[Preço Unitário]],"Produto não Encontrado",0,1)</f>
        <v>6</v>
      </c>
      <c r="G33" s="127">
        <f>IFERROR(TB_Saídas[[#This Row],[Quantidade Vendida]]*TB_Saídas[[#This Row],[Preço Unitário]],"Não foi possível calcular")</f>
        <v>540</v>
      </c>
    </row>
    <row r="34" spans="2:7" ht="16.2" x14ac:dyDescent="0.35">
      <c r="B34" s="42">
        <f>MONTH(TB_Saídas[[#This Row],[Data]])</f>
        <v>7</v>
      </c>
      <c r="C34" s="40">
        <v>44758</v>
      </c>
      <c r="D34" s="41" t="s">
        <v>10</v>
      </c>
      <c r="E34" s="35">
        <v>35</v>
      </c>
      <c r="F34" s="126" cm="1">
        <f t="array" ref="F34">_xlfn.XLOOKUP(TB_Saídas[[#This Row],[Produto]],TB_Produtos[[#All],[Produto]],TB_Produtos[[#All],[Preço Unitário]],"Produto não Encontrado",0,1)</f>
        <v>6.5</v>
      </c>
      <c r="G34" s="127">
        <f>IFERROR(TB_Saídas[[#This Row],[Quantidade Vendida]]*TB_Saídas[[#This Row],[Preço Unitário]],"Não foi possível calcular")</f>
        <v>227.5</v>
      </c>
    </row>
    <row r="35" spans="2:7" ht="16.2" x14ac:dyDescent="0.35">
      <c r="B35" s="42">
        <f>MONTH(TB_Saídas[[#This Row],[Data]])</f>
        <v>7</v>
      </c>
      <c r="C35" s="40">
        <v>44765</v>
      </c>
      <c r="D35" s="41" t="s">
        <v>19</v>
      </c>
      <c r="E35" s="35">
        <v>75</v>
      </c>
      <c r="F35" s="126" cm="1">
        <f t="array" ref="F35">_xlfn.XLOOKUP(TB_Saídas[[#This Row],[Produto]],TB_Produtos[[#All],[Produto]],TB_Produtos[[#All],[Preço Unitário]],"Produto não Encontrado",0,1)</f>
        <v>8.5</v>
      </c>
      <c r="G35" s="127">
        <f>IFERROR(TB_Saídas[[#This Row],[Quantidade Vendida]]*TB_Saídas[[#This Row],[Preço Unitário]],"Não foi possível calcular")</f>
        <v>637.5</v>
      </c>
    </row>
    <row r="36" spans="2:7" ht="16.2" x14ac:dyDescent="0.35">
      <c r="B36" s="42">
        <f>MONTH(TB_Saídas[[#This Row],[Data]])</f>
        <v>7</v>
      </c>
      <c r="C36" s="40">
        <v>44772</v>
      </c>
      <c r="D36" s="41" t="s">
        <v>25</v>
      </c>
      <c r="E36" s="35">
        <v>55</v>
      </c>
      <c r="F36" s="126" cm="1">
        <f t="array" ref="F36">_xlfn.XLOOKUP(TB_Saídas[[#This Row],[Produto]],TB_Produtos[[#All],[Produto]],TB_Produtos[[#All],[Preço Unitário]],"Produto não Encontrado",0,1)</f>
        <v>7.5</v>
      </c>
      <c r="G36" s="127">
        <f>IFERROR(TB_Saídas[[#This Row],[Quantidade Vendida]]*TB_Saídas[[#This Row],[Preço Unitário]],"Não foi possível calcular")</f>
        <v>412.5</v>
      </c>
    </row>
    <row r="37" spans="2:7" ht="16.2" x14ac:dyDescent="0.35">
      <c r="B37" s="42">
        <f>MONTH(TB_Saídas[[#This Row],[Data]])</f>
        <v>8</v>
      </c>
      <c r="C37" s="40">
        <v>44792</v>
      </c>
      <c r="D37" s="41" t="s">
        <v>10</v>
      </c>
      <c r="E37" s="35">
        <v>12</v>
      </c>
      <c r="F37" s="126" cm="1">
        <f t="array" ref="F37">_xlfn.XLOOKUP(TB_Saídas[[#This Row],[Produto]],TB_Produtos[[#All],[Produto]],TB_Produtos[[#All],[Preço Unitário]],"Produto não Encontrado",0,1)</f>
        <v>6.5</v>
      </c>
      <c r="G37" s="127">
        <f>IFERROR(TB_Saídas[[#This Row],[Quantidade Vendida]]*TB_Saídas[[#This Row],[Preço Unitário]],"Não foi possível calcular")</f>
        <v>78</v>
      </c>
    </row>
    <row r="38" spans="2:7" ht="16.2" x14ac:dyDescent="0.35">
      <c r="B38" s="42">
        <f>MONTH(TB_Saídas[[#This Row],[Data]])</f>
        <v>8</v>
      </c>
      <c r="C38" s="40">
        <v>44794</v>
      </c>
      <c r="D38" s="41" t="s">
        <v>19</v>
      </c>
      <c r="E38" s="35">
        <v>36</v>
      </c>
      <c r="F38" s="126" cm="1">
        <f t="array" ref="F38">_xlfn.XLOOKUP(TB_Saídas[[#This Row],[Produto]],TB_Produtos[[#All],[Produto]],TB_Produtos[[#All],[Preço Unitário]],"Produto não Encontrado",0,1)</f>
        <v>8.5</v>
      </c>
      <c r="G38" s="127">
        <f>IFERROR(TB_Saídas[[#This Row],[Quantidade Vendida]]*TB_Saídas[[#This Row],[Preço Unitário]],"Não foi possível calcular")</f>
        <v>306</v>
      </c>
    </row>
    <row r="39" spans="2:7" ht="16.2" x14ac:dyDescent="0.35">
      <c r="B39" s="42">
        <f>MONTH(TB_Saídas[[#This Row],[Data]])</f>
        <v>8</v>
      </c>
      <c r="C39" s="40">
        <v>44803</v>
      </c>
      <c r="D39" s="41" t="s">
        <v>23</v>
      </c>
      <c r="E39" s="35">
        <v>90</v>
      </c>
      <c r="F39" s="126" cm="1">
        <f t="array" ref="F39">_xlfn.XLOOKUP(TB_Saídas[[#This Row],[Produto]],TB_Produtos[[#All],[Produto]],TB_Produtos[[#All],[Preço Unitário]],"Produto não Encontrado",0,1)</f>
        <v>5</v>
      </c>
      <c r="G39" s="127">
        <f>IFERROR(TB_Saídas[[#This Row],[Quantidade Vendida]]*TB_Saídas[[#This Row],[Preço Unitário]],"Não foi possível calcular")</f>
        <v>450</v>
      </c>
    </row>
    <row r="40" spans="2:7" ht="16.2" x14ac:dyDescent="0.35">
      <c r="B40" s="42">
        <f>MONTH(TB_Saídas[[#This Row],[Data]])</f>
        <v>8</v>
      </c>
      <c r="C40" s="40">
        <v>44803</v>
      </c>
      <c r="D40" s="41" t="s">
        <v>25</v>
      </c>
      <c r="E40" s="35">
        <v>25</v>
      </c>
      <c r="F40" s="126" cm="1">
        <f t="array" ref="F40">_xlfn.XLOOKUP(TB_Saídas[[#This Row],[Produto]],TB_Produtos[[#All],[Produto]],TB_Produtos[[#All],[Preço Unitário]],"Produto não Encontrado",0,1)</f>
        <v>7.5</v>
      </c>
      <c r="G40" s="127">
        <f>IFERROR(TB_Saídas[[#This Row],[Quantidade Vendida]]*TB_Saídas[[#This Row],[Preço Unitário]],"Não foi possível calcular")</f>
        <v>187.5</v>
      </c>
    </row>
    <row r="41" spans="2:7" ht="16.2" x14ac:dyDescent="0.35">
      <c r="B41" s="42">
        <f>MONTH(TB_Saídas[[#This Row],[Data]])</f>
        <v>8</v>
      </c>
      <c r="C41" s="40">
        <v>44803</v>
      </c>
      <c r="D41" s="41" t="s">
        <v>6</v>
      </c>
      <c r="E41" s="35">
        <v>100</v>
      </c>
      <c r="F41" s="126" cm="1">
        <f t="array" ref="F41">_xlfn.XLOOKUP(TB_Saídas[[#This Row],[Produto]],TB_Produtos[[#All],[Produto]],TB_Produtos[[#All],[Preço Unitário]],"Produto não Encontrado",0,1)</f>
        <v>6</v>
      </c>
      <c r="G41" s="127">
        <f>IFERROR(TB_Saídas[[#This Row],[Quantidade Vendida]]*TB_Saídas[[#This Row],[Preço Unitário]],"Não foi possível calcular")</f>
        <v>600</v>
      </c>
    </row>
    <row r="42" spans="2:7" ht="16.2" x14ac:dyDescent="0.35">
      <c r="B42" s="42">
        <f>MONTH(TB_Saídas[[#This Row],[Data]])</f>
        <v>9</v>
      </c>
      <c r="C42" s="40">
        <v>44811</v>
      </c>
      <c r="D42" s="41" t="s">
        <v>36</v>
      </c>
      <c r="E42" s="35">
        <v>100</v>
      </c>
      <c r="F42" s="126" cm="1">
        <f t="array" ref="F42">_xlfn.XLOOKUP(TB_Saídas[[#This Row],[Produto]],TB_Produtos[[#All],[Produto]],TB_Produtos[[#All],[Preço Unitário]],"Produto não Encontrado",0,1)</f>
        <v>8</v>
      </c>
      <c r="G42" s="127">
        <f>IFERROR(TB_Saídas[[#This Row],[Quantidade Vendida]]*TB_Saídas[[#This Row],[Preço Unitário]],"Não foi possível calcular")</f>
        <v>800</v>
      </c>
    </row>
    <row r="43" spans="2:7" ht="16.2" x14ac:dyDescent="0.35">
      <c r="B43" s="42">
        <f>MONTH(TB_Saídas[[#This Row],[Data]])</f>
        <v>9</v>
      </c>
      <c r="C43" s="40">
        <v>44811</v>
      </c>
      <c r="D43" s="41" t="s">
        <v>6</v>
      </c>
      <c r="E43" s="35">
        <v>35</v>
      </c>
      <c r="F43" s="126" cm="1">
        <f t="array" ref="F43">_xlfn.XLOOKUP(TB_Saídas[[#This Row],[Produto]],TB_Produtos[[#All],[Produto]],TB_Produtos[[#All],[Preço Unitário]],"Produto não Encontrado",0,1)</f>
        <v>6</v>
      </c>
      <c r="G43" s="127">
        <f>IFERROR(TB_Saídas[[#This Row],[Quantidade Vendida]]*TB_Saídas[[#This Row],[Preço Unitário]],"Não foi possível calcular")</f>
        <v>210</v>
      </c>
    </row>
    <row r="44" spans="2:7" ht="16.2" x14ac:dyDescent="0.35">
      <c r="B44" s="42">
        <f>MONTH(TB_Saídas[[#This Row],[Data]])</f>
        <v>9</v>
      </c>
      <c r="C44" s="40">
        <v>44821</v>
      </c>
      <c r="D44" s="41" t="s">
        <v>19</v>
      </c>
      <c r="E44" s="35">
        <v>42</v>
      </c>
      <c r="F44" s="126" cm="1">
        <f t="array" ref="F44">_xlfn.XLOOKUP(TB_Saídas[[#This Row],[Produto]],TB_Produtos[[#All],[Produto]],TB_Produtos[[#All],[Preço Unitário]],"Produto não Encontrado",0,1)</f>
        <v>8.5</v>
      </c>
      <c r="G44" s="127">
        <f>IFERROR(TB_Saídas[[#This Row],[Quantidade Vendida]]*TB_Saídas[[#This Row],[Preço Unitário]],"Não foi possível calcular")</f>
        <v>357</v>
      </c>
    </row>
    <row r="45" spans="2:7" ht="16.2" x14ac:dyDescent="0.35">
      <c r="B45" s="42">
        <f>MONTH(TB_Saídas[[#This Row],[Data]])</f>
        <v>9</v>
      </c>
      <c r="C45" s="40">
        <v>44823</v>
      </c>
      <c r="D45" s="41" t="s">
        <v>28</v>
      </c>
      <c r="E45" s="35">
        <v>30</v>
      </c>
      <c r="F45" s="126" cm="1">
        <f t="array" ref="F45">_xlfn.XLOOKUP(TB_Saídas[[#This Row],[Produto]],TB_Produtos[[#All],[Produto]],TB_Produtos[[#All],[Preço Unitário]],"Produto não Encontrado",0,1)</f>
        <v>15</v>
      </c>
      <c r="G45" s="127">
        <f>IFERROR(TB_Saídas[[#This Row],[Quantidade Vendida]]*TB_Saídas[[#This Row],[Preço Unitário]],"Não foi possível calcular")</f>
        <v>450</v>
      </c>
    </row>
    <row r="46" spans="2:7" ht="16.2" x14ac:dyDescent="0.35">
      <c r="B46" s="42">
        <f>MONTH(TB_Saídas[[#This Row],[Data]])</f>
        <v>9</v>
      </c>
      <c r="C46" s="40">
        <v>44829</v>
      </c>
      <c r="D46" s="41" t="s">
        <v>25</v>
      </c>
      <c r="E46" s="35">
        <v>40</v>
      </c>
      <c r="F46" s="126" cm="1">
        <f t="array" ref="F46">_xlfn.XLOOKUP(TB_Saídas[[#This Row],[Produto]],TB_Produtos[[#All],[Produto]],TB_Produtos[[#All],[Preço Unitário]],"Produto não Encontrado",0,1)</f>
        <v>7.5</v>
      </c>
      <c r="G46" s="127">
        <f>IFERROR(TB_Saídas[[#This Row],[Quantidade Vendida]]*TB_Saídas[[#This Row],[Preço Unitário]],"Não foi possível calcular")</f>
        <v>300</v>
      </c>
    </row>
    <row r="47" spans="2:7" ht="16.2" x14ac:dyDescent="0.35">
      <c r="B47" s="42">
        <f>MONTH(TB_Saídas[[#This Row],[Data]])</f>
        <v>9</v>
      </c>
      <c r="C47" s="40">
        <v>44834</v>
      </c>
      <c r="D47" s="41" t="s">
        <v>10</v>
      </c>
      <c r="E47" s="35">
        <v>18</v>
      </c>
      <c r="F47" s="126" cm="1">
        <f t="array" ref="F47">_xlfn.XLOOKUP(TB_Saídas[[#This Row],[Produto]],TB_Produtos[[#All],[Produto]],TB_Produtos[[#All],[Preço Unitário]],"Produto não Encontrado",0,1)</f>
        <v>6.5</v>
      </c>
      <c r="G47" s="127">
        <f>IFERROR(TB_Saídas[[#This Row],[Quantidade Vendida]]*TB_Saídas[[#This Row],[Preço Unitário]],"Não foi possível calcular")</f>
        <v>117</v>
      </c>
    </row>
    <row r="48" spans="2:7" ht="16.2" x14ac:dyDescent="0.35">
      <c r="B48" s="42">
        <f>MONTH(TB_Saídas[[#This Row],[Data]])</f>
        <v>10</v>
      </c>
      <c r="C48" s="40">
        <v>44838</v>
      </c>
      <c r="D48" s="41" t="s">
        <v>19</v>
      </c>
      <c r="E48" s="35">
        <v>28</v>
      </c>
      <c r="F48" s="126" cm="1">
        <f t="array" ref="F48">_xlfn.XLOOKUP(TB_Saídas[[#This Row],[Produto]],TB_Produtos[[#All],[Produto]],TB_Produtos[[#All],[Preço Unitário]],"Produto não Encontrado",0,1)</f>
        <v>8.5</v>
      </c>
      <c r="G48" s="127">
        <f>IFERROR(TB_Saídas[[#This Row],[Quantidade Vendida]]*TB_Saídas[[#This Row],[Preço Unitário]],"Não foi possível calcular")</f>
        <v>238</v>
      </c>
    </row>
    <row r="49" spans="2:7" ht="16.2" x14ac:dyDescent="0.35">
      <c r="B49" s="42">
        <f>MONTH(TB_Saídas[[#This Row],[Data]])</f>
        <v>10</v>
      </c>
      <c r="C49" s="40">
        <v>44847</v>
      </c>
      <c r="D49" s="41" t="s">
        <v>27</v>
      </c>
      <c r="E49" s="35">
        <v>30</v>
      </c>
      <c r="F49" s="126" cm="1">
        <f t="array" ref="F49">_xlfn.XLOOKUP(TB_Saídas[[#This Row],[Produto]],TB_Produtos[[#All],[Produto]],TB_Produtos[[#All],[Preço Unitário]],"Produto não Encontrado",0,1)</f>
        <v>15</v>
      </c>
      <c r="G49" s="127">
        <f>IFERROR(TB_Saídas[[#This Row],[Quantidade Vendida]]*TB_Saídas[[#This Row],[Preço Unitário]],"Não foi possível calcular")</f>
        <v>450</v>
      </c>
    </row>
    <row r="50" spans="2:7" ht="16.2" x14ac:dyDescent="0.35">
      <c r="B50" s="42">
        <f>MONTH(TB_Saídas[[#This Row],[Data]])</f>
        <v>10</v>
      </c>
      <c r="C50" s="40">
        <v>44851</v>
      </c>
      <c r="D50" s="41" t="s">
        <v>25</v>
      </c>
      <c r="E50" s="35">
        <v>30</v>
      </c>
      <c r="F50" s="126" cm="1">
        <f t="array" ref="F50">_xlfn.XLOOKUP(TB_Saídas[[#This Row],[Produto]],TB_Produtos[[#All],[Produto]],TB_Produtos[[#All],[Preço Unitário]],"Produto não Encontrado",0,1)</f>
        <v>7.5</v>
      </c>
      <c r="G50" s="127">
        <f>IFERROR(TB_Saídas[[#This Row],[Quantidade Vendida]]*TB_Saídas[[#This Row],[Preço Unitário]],"Não foi possível calcular")</f>
        <v>225</v>
      </c>
    </row>
    <row r="51" spans="2:7" ht="16.2" x14ac:dyDescent="0.35">
      <c r="B51" s="42">
        <f>MONTH(TB_Saídas[[#This Row],[Data]])</f>
        <v>10</v>
      </c>
      <c r="C51" s="40">
        <v>44862</v>
      </c>
      <c r="D51" s="41" t="s">
        <v>10</v>
      </c>
      <c r="E51" s="35">
        <v>10</v>
      </c>
      <c r="F51" s="126" cm="1">
        <f t="array" ref="F51">_xlfn.XLOOKUP(TB_Saídas[[#This Row],[Produto]],TB_Produtos[[#All],[Produto]],TB_Produtos[[#All],[Preço Unitário]],"Produto não Encontrado",0,1)</f>
        <v>6.5</v>
      </c>
      <c r="G51" s="127">
        <f>IFERROR(TB_Saídas[[#This Row],[Quantidade Vendida]]*TB_Saídas[[#This Row],[Preço Unitário]],"Não foi possível calcular")</f>
        <v>65</v>
      </c>
    </row>
    <row r="52" spans="2:7" ht="16.2" x14ac:dyDescent="0.35">
      <c r="B52" s="42">
        <f>MONTH(TB_Saídas[[#This Row],[Data]])</f>
        <v>10</v>
      </c>
      <c r="C52" s="40">
        <v>44865</v>
      </c>
      <c r="D52" s="41" t="s">
        <v>26</v>
      </c>
      <c r="E52" s="35">
        <v>35</v>
      </c>
      <c r="F52" s="126" cm="1">
        <f t="array" ref="F52">_xlfn.XLOOKUP(TB_Saídas[[#This Row],[Produto]],TB_Produtos[[#All],[Produto]],TB_Produtos[[#All],[Preço Unitário]],"Produto não Encontrado",0,1)</f>
        <v>10</v>
      </c>
      <c r="G52" s="127">
        <f>IFERROR(TB_Saídas[[#This Row],[Quantidade Vendida]]*TB_Saídas[[#This Row],[Preço Unitário]],"Não foi possível calcular")</f>
        <v>350</v>
      </c>
    </row>
    <row r="53" spans="2:7" ht="16.2" x14ac:dyDescent="0.35">
      <c r="B53" s="42">
        <f>MONTH(TB_Saídas[[#This Row],[Data]])</f>
        <v>10</v>
      </c>
      <c r="C53" s="40">
        <v>44865</v>
      </c>
      <c r="D53" s="41" t="s">
        <v>6</v>
      </c>
      <c r="E53" s="35">
        <v>30</v>
      </c>
      <c r="F53" s="126" cm="1">
        <f t="array" ref="F53">_xlfn.XLOOKUP(TB_Saídas[[#This Row],[Produto]],TB_Produtos[[#All],[Produto]],TB_Produtos[[#All],[Preço Unitário]],"Produto não Encontrado",0,1)</f>
        <v>6</v>
      </c>
      <c r="G53" s="127">
        <f>IFERROR(TB_Saídas[[#This Row],[Quantidade Vendida]]*TB_Saídas[[#This Row],[Preço Unitário]],"Não foi possível calcular")</f>
        <v>180</v>
      </c>
    </row>
    <row r="54" spans="2:7" ht="16.2" x14ac:dyDescent="0.35">
      <c r="B54" s="42">
        <f>MONTH(TB_Saídas[[#This Row],[Data]])</f>
        <v>11</v>
      </c>
      <c r="C54" s="40">
        <v>44869</v>
      </c>
      <c r="D54" s="41" t="s">
        <v>10</v>
      </c>
      <c r="E54" s="35">
        <v>30</v>
      </c>
      <c r="F54" s="126" cm="1">
        <f t="array" ref="F54">_xlfn.XLOOKUP(TB_Saídas[[#This Row],[Produto]],TB_Produtos[[#All],[Produto]],TB_Produtos[[#All],[Preço Unitário]],"Produto não Encontrado",0,1)</f>
        <v>6.5</v>
      </c>
      <c r="G54" s="127">
        <f>IFERROR(TB_Saídas[[#This Row],[Quantidade Vendida]]*TB_Saídas[[#This Row],[Preço Unitário]],"Não foi possível calcular")</f>
        <v>195</v>
      </c>
    </row>
    <row r="55" spans="2:7" ht="16.2" x14ac:dyDescent="0.35">
      <c r="B55" s="42">
        <f>MONTH(TB_Saídas[[#This Row],[Data]])</f>
        <v>11</v>
      </c>
      <c r="C55" s="40">
        <v>44870</v>
      </c>
      <c r="D55" s="41" t="s">
        <v>25</v>
      </c>
      <c r="E55" s="35">
        <v>15</v>
      </c>
      <c r="F55" s="126" cm="1">
        <f t="array" ref="F55">_xlfn.XLOOKUP(TB_Saídas[[#This Row],[Produto]],TB_Produtos[[#All],[Produto]],TB_Produtos[[#All],[Preço Unitário]],"Produto não Encontrado",0,1)</f>
        <v>7.5</v>
      </c>
      <c r="G55" s="127">
        <f>IFERROR(TB_Saídas[[#This Row],[Quantidade Vendida]]*TB_Saídas[[#This Row],[Preço Unitário]],"Não foi possível calcular")</f>
        <v>112.5</v>
      </c>
    </row>
    <row r="56" spans="2:7" ht="16.2" x14ac:dyDescent="0.35">
      <c r="B56" s="42">
        <f>MONTH(TB_Saídas[[#This Row],[Data]])</f>
        <v>11</v>
      </c>
      <c r="C56" s="40">
        <v>44872</v>
      </c>
      <c r="D56" s="41" t="s">
        <v>6</v>
      </c>
      <c r="E56" s="35">
        <v>50</v>
      </c>
      <c r="F56" s="126" cm="1">
        <f t="array" ref="F56">_xlfn.XLOOKUP(TB_Saídas[[#This Row],[Produto]],TB_Produtos[[#All],[Produto]],TB_Produtos[[#All],[Preço Unitário]],"Produto não Encontrado",0,1)</f>
        <v>6</v>
      </c>
      <c r="G56" s="127">
        <f>IFERROR(TB_Saídas[[#This Row],[Quantidade Vendida]]*TB_Saídas[[#This Row],[Preço Unitário]],"Não foi possível calcular")</f>
        <v>300</v>
      </c>
    </row>
    <row r="57" spans="2:7" ht="16.2" x14ac:dyDescent="0.35">
      <c r="B57" s="42">
        <f>MONTH(TB_Saídas[[#This Row],[Data]])</f>
        <v>11</v>
      </c>
      <c r="C57" s="40">
        <v>44886</v>
      </c>
      <c r="D57" s="41" t="s">
        <v>19</v>
      </c>
      <c r="E57" s="35">
        <v>24</v>
      </c>
      <c r="F57" s="126" cm="1">
        <f t="array" ref="F57">_xlfn.XLOOKUP(TB_Saídas[[#This Row],[Produto]],TB_Produtos[[#All],[Produto]],TB_Produtos[[#All],[Preço Unitário]],"Produto não Encontrado",0,1)</f>
        <v>8.5</v>
      </c>
      <c r="G57" s="127">
        <f>IFERROR(TB_Saídas[[#This Row],[Quantidade Vendida]]*TB_Saídas[[#This Row],[Preço Unitário]],"Não foi possível calcular")</f>
        <v>204</v>
      </c>
    </row>
    <row r="58" spans="2:7" ht="16.2" x14ac:dyDescent="0.35">
      <c r="B58" s="42">
        <f>MONTH(TB_Saídas[[#This Row],[Data]])</f>
        <v>12</v>
      </c>
      <c r="C58" s="40">
        <v>44897</v>
      </c>
      <c r="D58" s="41" t="s">
        <v>25</v>
      </c>
      <c r="E58" s="35">
        <v>20</v>
      </c>
      <c r="F58" s="126" cm="1">
        <f t="array" ref="F58">_xlfn.XLOOKUP(TB_Saídas[[#This Row],[Produto]],TB_Produtos[[#All],[Produto]],TB_Produtos[[#All],[Preço Unitário]],"Produto não Encontrado",0,1)</f>
        <v>7.5</v>
      </c>
      <c r="G58" s="127">
        <f>IFERROR(TB_Saídas[[#This Row],[Quantidade Vendida]]*TB_Saídas[[#This Row],[Preço Unitário]],"Não foi possível calcular")</f>
        <v>150</v>
      </c>
    </row>
    <row r="59" spans="2:7" ht="16.2" x14ac:dyDescent="0.35">
      <c r="B59" s="42">
        <f>MONTH(TB_Saídas[[#This Row],[Data]])</f>
        <v>12</v>
      </c>
      <c r="C59" s="40">
        <v>44905</v>
      </c>
      <c r="D59" s="41" t="s">
        <v>26</v>
      </c>
      <c r="E59" s="35">
        <v>25</v>
      </c>
      <c r="F59" s="126" cm="1">
        <f t="array" ref="F59">_xlfn.XLOOKUP(TB_Saídas[[#This Row],[Produto]],TB_Produtos[[#All],[Produto]],TB_Produtos[[#All],[Preço Unitário]],"Produto não Encontrado",0,1)</f>
        <v>10</v>
      </c>
      <c r="G59" s="127">
        <f>IFERROR(TB_Saídas[[#This Row],[Quantidade Vendida]]*TB_Saídas[[#This Row],[Preço Unitário]],"Não foi possível calcular")</f>
        <v>250</v>
      </c>
    </row>
    <row r="60" spans="2:7" ht="16.2" x14ac:dyDescent="0.35">
      <c r="B60" s="42">
        <f>MONTH(TB_Saídas[[#This Row],[Data]])</f>
        <v>12</v>
      </c>
      <c r="C60" s="40">
        <v>44915</v>
      </c>
      <c r="D60" s="41" t="s">
        <v>6</v>
      </c>
      <c r="E60" s="35">
        <v>100</v>
      </c>
      <c r="F60" s="126" cm="1">
        <f t="array" ref="F60">_xlfn.XLOOKUP(TB_Saídas[[#This Row],[Produto]],TB_Produtos[[#All],[Produto]],TB_Produtos[[#All],[Preço Unitário]],"Produto não Encontrado",0,1)</f>
        <v>6</v>
      </c>
      <c r="G60" s="127">
        <f>IFERROR(TB_Saídas[[#This Row],[Quantidade Vendida]]*TB_Saídas[[#This Row],[Preço Unitário]],"Não foi possível calcular")</f>
        <v>600</v>
      </c>
    </row>
    <row r="61" spans="2:7" ht="16.2" x14ac:dyDescent="0.35">
      <c r="B61" s="42">
        <f>MONTH(TB_Saídas[[#This Row],[Data]])</f>
        <v>12</v>
      </c>
      <c r="C61" s="40">
        <v>44917</v>
      </c>
      <c r="D61" s="41" t="s">
        <v>19</v>
      </c>
      <c r="E61" s="35">
        <v>23</v>
      </c>
      <c r="F61" s="126" cm="1">
        <f t="array" ref="F61">_xlfn.XLOOKUP(TB_Saídas[[#This Row],[Produto]],TB_Produtos[[#All],[Produto]],TB_Produtos[[#All],[Preço Unitário]],"Produto não Encontrado",0,1)</f>
        <v>8.5</v>
      </c>
      <c r="G61" s="127">
        <f>IFERROR(TB_Saídas[[#This Row],[Quantidade Vendida]]*TB_Saídas[[#This Row],[Preço Unitário]],"Não foi possível calcular")</f>
        <v>195.5</v>
      </c>
    </row>
    <row r="63" spans="2:7" x14ac:dyDescent="0.3">
      <c r="E63" s="10"/>
    </row>
  </sheetData>
  <phoneticPr fontId="3" type="noConversion"/>
  <dataValidations count="1">
    <dataValidation type="list" allowBlank="1" showInputMessage="1" showErrorMessage="1" sqref="D5:D61" xr:uid="{C915EF8A-EC10-4320-A524-64111B80C901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41DB-69FF-40BA-A261-24CC26CF3A1B}">
  <sheetPr>
    <tabColor theme="0"/>
  </sheetPr>
  <dimension ref="A1:R15"/>
  <sheetViews>
    <sheetView showGridLines="0" tabSelected="1" zoomScaleNormal="100" workbookViewId="0">
      <selection activeCell="K2" sqref="K2"/>
    </sheetView>
  </sheetViews>
  <sheetFormatPr defaultRowHeight="14.4" x14ac:dyDescent="0.3"/>
  <cols>
    <col min="1" max="1" width="2" bestFit="1" customWidth="1"/>
    <col min="2" max="2" width="18.6640625" customWidth="1"/>
    <col min="3" max="4" width="13.109375" customWidth="1"/>
    <col min="5" max="5" width="3.88671875" customWidth="1"/>
    <col min="6" max="6" width="6.88671875" bestFit="1" customWidth="1"/>
    <col min="7" max="7" width="7.5546875" customWidth="1"/>
    <col min="8" max="9" width="13.6640625" customWidth="1"/>
    <col min="10" max="10" width="3.88671875" customWidth="1"/>
    <col min="11" max="11" width="10.5546875" customWidth="1"/>
    <col min="13" max="14" width="12.6640625" customWidth="1"/>
  </cols>
  <sheetData>
    <row r="1" spans="1:18" ht="15" thickBot="1" x14ac:dyDescent="0.35">
      <c r="A1" s="226" t="s">
        <v>104</v>
      </c>
      <c r="B1" s="227"/>
      <c r="C1" s="227"/>
      <c r="D1" s="228"/>
      <c r="F1" s="226" t="s">
        <v>109</v>
      </c>
      <c r="G1" s="227"/>
      <c r="H1" s="227"/>
      <c r="I1" s="228"/>
      <c r="K1" s="128" t="s">
        <v>112</v>
      </c>
      <c r="L1" s="229" t="s">
        <v>113</v>
      </c>
      <c r="M1" s="230"/>
      <c r="N1" s="231"/>
      <c r="P1" s="232" t="s">
        <v>127</v>
      </c>
      <c r="Q1" s="233"/>
    </row>
    <row r="2" spans="1:18" s="75" customFormat="1" ht="15" thickBot="1" x14ac:dyDescent="0.35">
      <c r="A2" s="93"/>
      <c r="B2" s="94" t="s">
        <v>1</v>
      </c>
      <c r="C2" s="94" t="s">
        <v>73</v>
      </c>
      <c r="D2" s="95" t="s">
        <v>105</v>
      </c>
      <c r="F2" s="84" t="s">
        <v>110</v>
      </c>
      <c r="G2" s="85" t="s">
        <v>108</v>
      </c>
      <c r="H2" s="85" t="s">
        <v>107</v>
      </c>
      <c r="I2" s="86" t="s">
        <v>111</v>
      </c>
      <c r="K2" s="108" t="str">
        <f>Dashboard!AN30</f>
        <v>Café</v>
      </c>
      <c r="L2" s="111" t="s">
        <v>108</v>
      </c>
      <c r="M2" s="112" t="s">
        <v>73</v>
      </c>
      <c r="N2" s="113" t="s">
        <v>105</v>
      </c>
      <c r="P2" s="119" t="s">
        <v>73</v>
      </c>
      <c r="Q2" s="120">
        <f>SUM(M3:M14)</f>
        <v>1635</v>
      </c>
      <c r="R2" s="122"/>
    </row>
    <row r="3" spans="1:18" ht="15" thickBot="1" x14ac:dyDescent="0.35">
      <c r="A3" s="88">
        <v>1</v>
      </c>
      <c r="B3" s="87" t="str">
        <f>_xlfn.XLOOKUP(D3,'Visão Produtos'!B:B,'Visão Produtos'!A:A)</f>
        <v>Café</v>
      </c>
      <c r="C3" s="87">
        <f>SUMIF(TB_Entradas[Produto],B3,TB_Entradas[Quantidade Comprada])</f>
        <v>1635</v>
      </c>
      <c r="D3" s="89">
        <f>LARGE('Visão Produtos'!B:B,'Base de Cálculos'!A3)</f>
        <v>945</v>
      </c>
      <c r="F3" s="78">
        <v>1</v>
      </c>
      <c r="G3" s="76" t="s">
        <v>114</v>
      </c>
      <c r="H3" s="77">
        <f>SUMIF(TB_Saídas[Mês],F3,TB_Saídas[Valor de Venda])</f>
        <v>1475</v>
      </c>
      <c r="I3" s="79">
        <f>SUMIF(TB_Entradas[Mês],F3,TB_Entradas[Valor da Compra])</f>
        <v>297.5</v>
      </c>
      <c r="L3" s="109" t="s">
        <v>114</v>
      </c>
      <c r="M3" s="106">
        <f>SUMIFS(TB_Entradas[Quantidade Comprada],TB_Entradas[Produto],$K$2,TB_Entradas[Mês],$F3)</f>
        <v>100</v>
      </c>
      <c r="N3" s="107">
        <f>SUMIFS(TB_Saídas[Quantidade Vendida],TB_Saídas[Produto],$K$2,TB_Saídas[Mês],$F3)</f>
        <v>80</v>
      </c>
      <c r="P3" s="121" t="s">
        <v>105</v>
      </c>
      <c r="Q3" s="115">
        <f>SUM(N3:N14)</f>
        <v>945</v>
      </c>
      <c r="R3" s="124"/>
    </row>
    <row r="4" spans="1:18" x14ac:dyDescent="0.3">
      <c r="A4" s="88">
        <v>2</v>
      </c>
      <c r="B4" s="87" t="str">
        <f>_xlfn.XLOOKUP(D4,'Visão Produtos'!B:B,'Visão Produtos'!A:A)</f>
        <v>Chocolate Quente</v>
      </c>
      <c r="C4" s="87">
        <f>SUMIF(TB_Entradas[Produto],B4,TB_Entradas[Quantidade Comprada])</f>
        <v>750</v>
      </c>
      <c r="D4" s="89">
        <f>LARGE('Visão Produtos'!B:B,'Base de Cálculos'!A4)</f>
        <v>500</v>
      </c>
      <c r="F4" s="78">
        <v>2</v>
      </c>
      <c r="G4" s="76" t="s">
        <v>115</v>
      </c>
      <c r="H4" s="77">
        <f>SUMIF(TB_Saídas[Mês],F4,TB_Saídas[Valor de Venda])</f>
        <v>1652.5</v>
      </c>
      <c r="I4" s="79">
        <f>SUMIF(TB_Entradas[Mês],F4,TB_Entradas[Valor da Compra])</f>
        <v>378.75</v>
      </c>
      <c r="L4" s="109" t="s">
        <v>115</v>
      </c>
      <c r="M4" s="106">
        <f>SUMIFS(TB_Entradas[Quantidade Comprada],TB_Entradas[Produto],$K$2,TB_Entradas[Mês],$F4)</f>
        <v>125</v>
      </c>
      <c r="N4" s="107">
        <f>SUMIFS(TB_Saídas[Quantidade Vendida],TB_Saídas[Produto],$K$2,TB_Saídas[Mês],$F4)</f>
        <v>110</v>
      </c>
    </row>
    <row r="5" spans="1:18" x14ac:dyDescent="0.3">
      <c r="A5" s="88">
        <v>3</v>
      </c>
      <c r="B5" s="87" t="str">
        <f>_xlfn.XLOOKUP(D5,'Visão Produtos'!B:B,'Visão Produtos'!A:A)</f>
        <v>Pão de Queijo</v>
      </c>
      <c r="C5" s="87">
        <f>SUMIF(TB_Entradas[Produto],B5,TB_Entradas[Quantidade Comprada])</f>
        <v>620</v>
      </c>
      <c r="D5" s="89">
        <f>LARGE('Visão Produtos'!B:B,'Base de Cálculos'!A5)</f>
        <v>400</v>
      </c>
      <c r="F5" s="78">
        <v>3</v>
      </c>
      <c r="G5" s="76" t="s">
        <v>116</v>
      </c>
      <c r="H5" s="77">
        <f>SUMIF(TB_Saídas[Mês],F5,TB_Saídas[Valor de Venda])</f>
        <v>2302.5</v>
      </c>
      <c r="I5" s="79">
        <f>SUMIF(TB_Entradas[Mês],F5,TB_Entradas[Valor da Compra])</f>
        <v>922.5</v>
      </c>
      <c r="L5" s="109" t="s">
        <v>116</v>
      </c>
      <c r="M5" s="106">
        <f>SUMIFS(TB_Entradas[Quantidade Comprada],TB_Entradas[Produto],$K$2,TB_Entradas[Mês],$F5)</f>
        <v>150</v>
      </c>
      <c r="N5" s="107">
        <f>SUMIFS(TB_Saídas[Quantidade Vendida],TB_Saídas[Produto],$K$2,TB_Saídas[Mês],$F5)</f>
        <v>100</v>
      </c>
    </row>
    <row r="6" spans="1:18" x14ac:dyDescent="0.3">
      <c r="A6" s="88">
        <v>4</v>
      </c>
      <c r="B6" s="87" t="str">
        <f>_xlfn.XLOOKUP(D6,'Visão Produtos'!B:B,'Visão Produtos'!A:A)</f>
        <v>Coxinha</v>
      </c>
      <c r="C6" s="87">
        <f>SUMIF(TB_Entradas[Produto],B6,TB_Entradas[Quantidade Comprada])</f>
        <v>550</v>
      </c>
      <c r="D6" s="89">
        <f>LARGE('Visão Produtos'!B:B,'Base de Cálculos'!A6)</f>
        <v>245</v>
      </c>
      <c r="F6" s="78">
        <v>4</v>
      </c>
      <c r="G6" s="76" t="s">
        <v>117</v>
      </c>
      <c r="H6" s="77">
        <f>SUMIF(TB_Saídas[Mês],F6,TB_Saídas[Valor de Venda])</f>
        <v>1507.5</v>
      </c>
      <c r="I6" s="79">
        <f>SUMIF(TB_Entradas[Mês],F6,TB_Entradas[Valor da Compra])</f>
        <v>362.5</v>
      </c>
      <c r="L6" s="109" t="s">
        <v>117</v>
      </c>
      <c r="M6" s="106">
        <f>SUMIFS(TB_Entradas[Quantidade Comprada],TB_Entradas[Produto],$K$2,TB_Entradas[Mês],$F6)</f>
        <v>150</v>
      </c>
      <c r="N6" s="107">
        <f>SUMIFS(TB_Saídas[Quantidade Vendida],TB_Saídas[Produto],$K$2,TB_Saídas[Mês],$F6)</f>
        <v>75</v>
      </c>
    </row>
    <row r="7" spans="1:18" ht="15" thickBot="1" x14ac:dyDescent="0.35">
      <c r="A7" s="90">
        <v>5</v>
      </c>
      <c r="B7" s="91" t="str">
        <f>_xlfn.XLOOKUP(D7,'Visão Produtos'!B:B,'Visão Produtos'!A:A)</f>
        <v>Refrigerante</v>
      </c>
      <c r="C7" s="91">
        <f>SUMIF(TB_Entradas[Produto],B7,TB_Entradas[Quantidade Comprada])</f>
        <v>350</v>
      </c>
      <c r="D7" s="92">
        <f>LARGE('Visão Produtos'!B:B,'Base de Cálculos'!A7)</f>
        <v>210</v>
      </c>
      <c r="F7" s="78">
        <v>5</v>
      </c>
      <c r="G7" s="76" t="s">
        <v>118</v>
      </c>
      <c r="H7" s="77">
        <f>SUMIF(TB_Saídas[Mês],F7,TB_Saídas[Valor de Venda])</f>
        <v>1372</v>
      </c>
      <c r="I7" s="79">
        <f>SUMIF(TB_Entradas[Mês],F7,TB_Entradas[Valor da Compra])</f>
        <v>723.75</v>
      </c>
      <c r="L7" s="109" t="s">
        <v>118</v>
      </c>
      <c r="M7" s="106">
        <f>SUMIFS(TB_Entradas[Quantidade Comprada],TB_Entradas[Produto],$K$2,TB_Entradas[Mês],$F7)</f>
        <v>100</v>
      </c>
      <c r="N7" s="107">
        <f>SUMIFS(TB_Saídas[Quantidade Vendida],TB_Saídas[Produto],$K$2,TB_Saídas[Mês],$F7)</f>
        <v>75</v>
      </c>
    </row>
    <row r="8" spans="1:18" ht="15" thickBot="1" x14ac:dyDescent="0.35">
      <c r="F8" s="78">
        <v>6</v>
      </c>
      <c r="G8" s="76" t="s">
        <v>119</v>
      </c>
      <c r="H8" s="77">
        <f>SUMIF(TB_Saídas[Mês],F8,TB_Saídas[Valor de Venda])</f>
        <v>1145</v>
      </c>
      <c r="I8" s="79">
        <f>SUMIF(TB_Entradas[Mês],F8,TB_Entradas[Valor da Compra])</f>
        <v>376.25</v>
      </c>
      <c r="L8" s="109" t="s">
        <v>119</v>
      </c>
      <c r="M8" s="106">
        <f>SUMIFS(TB_Entradas[Quantidade Comprada],TB_Entradas[Produto],$K$2,TB_Entradas[Mês],$F8)</f>
        <v>150</v>
      </c>
      <c r="N8" s="107">
        <f>SUMIFS(TB_Saídas[Quantidade Vendida],TB_Saídas[Produto],$K$2,TB_Saídas[Mês],$F8)</f>
        <v>100</v>
      </c>
    </row>
    <row r="9" spans="1:18" ht="15" thickBot="1" x14ac:dyDescent="0.35">
      <c r="A9" s="226" t="s">
        <v>106</v>
      </c>
      <c r="B9" s="227"/>
      <c r="C9" s="227"/>
      <c r="D9" s="228"/>
      <c r="F9" s="78">
        <v>7</v>
      </c>
      <c r="G9" s="76" t="s">
        <v>120</v>
      </c>
      <c r="H9" s="77">
        <f>SUMIF(TB_Saídas[Mês],F9,TB_Saídas[Valor de Venda])</f>
        <v>2217.5</v>
      </c>
      <c r="I9" s="79">
        <f>SUMIF(TB_Entradas[Mês],F9,TB_Entradas[Valor da Compra])</f>
        <v>355</v>
      </c>
      <c r="L9" s="109" t="s">
        <v>120</v>
      </c>
      <c r="M9" s="106">
        <f>SUMIFS(TB_Entradas[Quantidade Comprada],TB_Entradas[Produto],$K$2,TB_Entradas[Mês],$F9)</f>
        <v>150</v>
      </c>
      <c r="N9" s="107">
        <f>SUMIFS(TB_Saídas[Quantidade Vendida],TB_Saídas[Produto],$K$2,TB_Saídas[Mês],$F9)</f>
        <v>90</v>
      </c>
    </row>
    <row r="10" spans="1:18" s="2" customFormat="1" x14ac:dyDescent="0.3">
      <c r="A10" s="96"/>
      <c r="B10" s="97" t="s">
        <v>1</v>
      </c>
      <c r="C10" s="97" t="s">
        <v>107</v>
      </c>
      <c r="D10" s="98"/>
      <c r="F10" s="78">
        <v>8</v>
      </c>
      <c r="G10" s="76" t="s">
        <v>121</v>
      </c>
      <c r="H10" s="77">
        <f>SUMIF(TB_Saídas[Mês],F10,TB_Saídas[Valor de Venda])</f>
        <v>1621.5</v>
      </c>
      <c r="I10" s="79">
        <f>SUMIF(TB_Entradas[Mês],F10,TB_Entradas[Valor da Compra])</f>
        <v>431.25</v>
      </c>
      <c r="L10" s="109" t="s">
        <v>121</v>
      </c>
      <c r="M10" s="106">
        <f>SUMIFS(TB_Entradas[Quantidade Comprada],TB_Entradas[Produto],$K$2,TB_Entradas[Mês],$F10)</f>
        <v>150</v>
      </c>
      <c r="N10" s="107">
        <f>SUMIFS(TB_Saídas[Quantidade Vendida],TB_Saídas[Produto],$K$2,TB_Saídas[Mês],$F10)</f>
        <v>100</v>
      </c>
    </row>
    <row r="11" spans="1:18" x14ac:dyDescent="0.3">
      <c r="A11" s="88">
        <v>1</v>
      </c>
      <c r="B11" s="87" t="str">
        <f>_xlfn.XLOOKUP(C11,'Visão Produtos'!C:C,'Visão Produtos'!A:A)</f>
        <v>Café</v>
      </c>
      <c r="C11" s="77">
        <f>LARGE('Visão Produtos'!C:C,'Base de Cálculos'!A11)</f>
        <v>5670</v>
      </c>
      <c r="D11" s="89"/>
      <c r="F11" s="78">
        <v>9</v>
      </c>
      <c r="G11" s="76" t="s">
        <v>122</v>
      </c>
      <c r="H11" s="77">
        <f>SUMIF(TB_Saídas[Mês],F11,TB_Saídas[Valor de Venda])</f>
        <v>2234</v>
      </c>
      <c r="I11" s="79">
        <f>SUMIF(TB_Entradas[Mês],F11,TB_Entradas[Valor da Compra])</f>
        <v>806</v>
      </c>
      <c r="L11" s="109" t="s">
        <v>122</v>
      </c>
      <c r="M11" s="106">
        <f>SUMIFS(TB_Entradas[Quantidade Comprada],TB_Entradas[Produto],$K$2,TB_Entradas[Mês],$F11)</f>
        <v>180</v>
      </c>
      <c r="N11" s="107">
        <f>SUMIFS(TB_Saídas[Quantidade Vendida],TB_Saídas[Produto],$K$2,TB_Saídas[Mês],$F11)</f>
        <v>35</v>
      </c>
    </row>
    <row r="12" spans="1:18" x14ac:dyDescent="0.3">
      <c r="A12" s="88">
        <v>2</v>
      </c>
      <c r="B12" s="87" t="str">
        <f>_xlfn.XLOOKUP(C12,'Visão Produtos'!C:C,'Visão Produtos'!A:A)</f>
        <v>Chocolate Quente</v>
      </c>
      <c r="C12" s="77">
        <f>LARGE('Visão Produtos'!C:C,'Base de Cálculos'!A12)</f>
        <v>4250</v>
      </c>
      <c r="D12" s="89"/>
      <c r="F12" s="78">
        <v>10</v>
      </c>
      <c r="G12" s="76" t="s">
        <v>123</v>
      </c>
      <c r="H12" s="77">
        <f>SUMIF(TB_Saídas[Mês],F12,TB_Saídas[Valor de Venda])</f>
        <v>1508</v>
      </c>
      <c r="I12" s="79">
        <f>SUMIF(TB_Entradas[Mês],F12,TB_Entradas[Valor da Compra])</f>
        <v>247.75</v>
      </c>
      <c r="L12" s="109" t="s">
        <v>123</v>
      </c>
      <c r="M12" s="106">
        <f>SUMIFS(TB_Entradas[Quantidade Comprada],TB_Entradas[Produto],$K$2,TB_Entradas[Mês],$F12)</f>
        <v>100</v>
      </c>
      <c r="N12" s="107">
        <f>SUMIFS(TB_Saídas[Quantidade Vendida],TB_Saídas[Produto],$K$2,TB_Saídas[Mês],$F12)</f>
        <v>30</v>
      </c>
    </row>
    <row r="13" spans="1:18" x14ac:dyDescent="0.3">
      <c r="A13" s="88">
        <v>3</v>
      </c>
      <c r="B13" s="87" t="str">
        <f>_xlfn.XLOOKUP(C13,'Visão Produtos'!C:C,'Visão Produtos'!A:A)</f>
        <v>Pão de Queijo</v>
      </c>
      <c r="C13" s="77">
        <f>LARGE('Visão Produtos'!C:C,'Base de Cálculos'!A13)</f>
        <v>3000</v>
      </c>
      <c r="D13" s="89"/>
      <c r="F13" s="78">
        <v>11</v>
      </c>
      <c r="G13" s="76" t="s">
        <v>124</v>
      </c>
      <c r="H13" s="77">
        <f>SUMIF(TB_Saídas[Mês],F13,TB_Saídas[Valor de Venda])</f>
        <v>811.5</v>
      </c>
      <c r="I13" s="79">
        <f>SUMIF(TB_Entradas[Mês],F13,TB_Entradas[Valor da Compra])</f>
        <v>218.75</v>
      </c>
      <c r="L13" s="109" t="s">
        <v>124</v>
      </c>
      <c r="M13" s="106">
        <f>SUMIFS(TB_Entradas[Quantidade Comprada],TB_Entradas[Produto],$K$2,TB_Entradas[Mês],$F13)</f>
        <v>80</v>
      </c>
      <c r="N13" s="107">
        <f>SUMIFS(TB_Saídas[Quantidade Vendida],TB_Saídas[Produto],$K$2,TB_Saídas[Mês],$F13)</f>
        <v>50</v>
      </c>
    </row>
    <row r="14" spans="1:18" ht="15" thickBot="1" x14ac:dyDescent="0.35">
      <c r="A14" s="88">
        <v>4</v>
      </c>
      <c r="B14" s="87" t="str">
        <f>_xlfn.XLOOKUP(C14,'Visão Produtos'!C:C,'Visão Produtos'!A:A)</f>
        <v>Refrigerante</v>
      </c>
      <c r="C14" s="77">
        <f>LARGE('Visão Produtos'!C:C,'Base de Cálculos'!A14)</f>
        <v>1680</v>
      </c>
      <c r="D14" s="89"/>
      <c r="F14" s="80">
        <v>12</v>
      </c>
      <c r="G14" s="81" t="s">
        <v>125</v>
      </c>
      <c r="H14" s="82">
        <f>SUMIF(TB_Saídas[Mês],F14,TB_Saídas[Valor de Venda])</f>
        <v>1195.5</v>
      </c>
      <c r="I14" s="83">
        <f>SUMIF(TB_Entradas[Mês],F14,TB_Entradas[Valor da Compra])</f>
        <v>410</v>
      </c>
      <c r="L14" s="110" t="s">
        <v>125</v>
      </c>
      <c r="M14" s="114">
        <f>SUMIFS(TB_Entradas[Quantidade Comprada],TB_Entradas[Produto],$K$2,TB_Entradas[Mês],$F14)</f>
        <v>200</v>
      </c>
      <c r="N14" s="115">
        <f>SUMIFS(TB_Saídas[Quantidade Vendida],TB_Saídas[Produto],$K$2,TB_Saídas[Mês],$F14)</f>
        <v>100</v>
      </c>
    </row>
    <row r="15" spans="1:18" ht="15" thickBot="1" x14ac:dyDescent="0.35">
      <c r="A15" s="90">
        <v>5</v>
      </c>
      <c r="B15" s="91" t="str">
        <f>_xlfn.XLOOKUP(C15,'Visão Produtos'!C:C,'Visão Produtos'!A:A)</f>
        <v>Coxinha</v>
      </c>
      <c r="C15" s="82">
        <f>LARGE('Visão Produtos'!C:C,'Base de Cálculos'!A15)</f>
        <v>1592.5</v>
      </c>
      <c r="D15" s="92"/>
      <c r="L15" s="116" t="s">
        <v>126</v>
      </c>
      <c r="M15" s="117">
        <f>SUM(M2:M14)</f>
        <v>1635</v>
      </c>
      <c r="N15" s="118">
        <f>SUM(N2:N14)</f>
        <v>945</v>
      </c>
    </row>
  </sheetData>
  <mergeCells count="5">
    <mergeCell ref="A1:D1"/>
    <mergeCell ref="A9:D9"/>
    <mergeCell ref="F1:I1"/>
    <mergeCell ref="L1:N1"/>
    <mergeCell ref="P1:Q1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ECE0-E529-4093-AE91-7BC0710CC1D8}">
  <sheetPr>
    <tabColor theme="0"/>
  </sheetPr>
  <dimension ref="A1:C200"/>
  <sheetViews>
    <sheetView showGridLines="0" zoomScaleNormal="100" workbookViewId="0">
      <selection activeCell="B11" sqref="B11"/>
    </sheetView>
  </sheetViews>
  <sheetFormatPr defaultRowHeight="14.4" x14ac:dyDescent="0.3"/>
  <cols>
    <col min="1" max="1" width="21.88671875" customWidth="1"/>
    <col min="2" max="2" width="16.5546875" customWidth="1"/>
    <col min="3" max="3" width="16.33203125" customWidth="1"/>
  </cols>
  <sheetData>
    <row r="1" spans="1:3" x14ac:dyDescent="0.3">
      <c r="A1" t="str" cm="1">
        <f t="array" ref="A1:A27">TB_Produtos[Produto]</f>
        <v>Café</v>
      </c>
      <c r="B1">
        <f>SUMIF(TB_Saídas[Produto],A1,TB_Saídas[Quantidade Vendida])</f>
        <v>945</v>
      </c>
      <c r="C1" s="10">
        <f>SUMIF(TB_Saídas[Produto],A1,TB_Saídas[Valor de Venda])</f>
        <v>5670</v>
      </c>
    </row>
    <row r="2" spans="1:3" x14ac:dyDescent="0.3">
      <c r="A2" t="str">
        <v>Pão</v>
      </c>
      <c r="B2">
        <f>SUMIF(TB_Saídas[Produto],A2,TB_Saídas[Quantidade Vendida])</f>
        <v>0</v>
      </c>
      <c r="C2" s="10">
        <f>SUMIF(TB_Saídas[Produto],A2,TB_Saídas[Valor de Venda])</f>
        <v>0</v>
      </c>
    </row>
    <row r="3" spans="1:3" x14ac:dyDescent="0.3">
      <c r="A3" t="str">
        <v>Coxinha</v>
      </c>
      <c r="B3">
        <f>SUMIF(TB_Saídas[Produto],A3,TB_Saídas[Quantidade Vendida])</f>
        <v>245</v>
      </c>
      <c r="C3" s="10">
        <f>SUMIF(TB_Saídas[Produto],A3,TB_Saídas[Valor de Venda])</f>
        <v>1592.5</v>
      </c>
    </row>
    <row r="4" spans="1:3" x14ac:dyDescent="0.3">
      <c r="A4" t="str">
        <v>Esfiha</v>
      </c>
      <c r="B4">
        <f>SUMIF(TB_Saídas[Produto],A4,TB_Saídas[Quantidade Vendida])</f>
        <v>0</v>
      </c>
      <c r="C4" s="10">
        <f>SUMIF(TB_Saídas[Produto],A4,TB_Saídas[Valor de Venda])</f>
        <v>0</v>
      </c>
    </row>
    <row r="5" spans="1:3" x14ac:dyDescent="0.3">
      <c r="A5" t="str">
        <v>Risoles</v>
      </c>
      <c r="B5">
        <f>SUMIF(TB_Saídas[Produto],A5,TB_Saídas[Quantidade Vendida])</f>
        <v>0</v>
      </c>
      <c r="C5" s="10">
        <f>SUMIF(TB_Saídas[Produto],A5,TB_Saídas[Valor de Venda])</f>
        <v>0</v>
      </c>
    </row>
    <row r="6" spans="1:3" x14ac:dyDescent="0.3">
      <c r="A6" t="str">
        <v>Empada</v>
      </c>
      <c r="B6">
        <f>SUMIF(TB_Saídas[Produto],A6,TB_Saídas[Quantidade Vendida])</f>
        <v>0</v>
      </c>
      <c r="C6" s="10">
        <f>SUMIF(TB_Saídas[Produto],A6,TB_Saídas[Valor de Venda])</f>
        <v>0</v>
      </c>
    </row>
    <row r="7" spans="1:3" x14ac:dyDescent="0.3">
      <c r="A7" t="str">
        <v>Quibe</v>
      </c>
      <c r="B7">
        <f>SUMIF(TB_Saídas[Produto],A7,TB_Saídas[Quantidade Vendida])</f>
        <v>0</v>
      </c>
      <c r="C7" s="10">
        <f>SUMIF(TB_Saídas[Produto],A7,TB_Saídas[Valor de Venda])</f>
        <v>0</v>
      </c>
    </row>
    <row r="8" spans="1:3" x14ac:dyDescent="0.3">
      <c r="A8" t="str">
        <v>Chá</v>
      </c>
      <c r="B8">
        <f>SUMIF(TB_Saídas[Produto],A8,TB_Saídas[Quantidade Vendida])</f>
        <v>0</v>
      </c>
      <c r="C8" s="10">
        <f>SUMIF(TB_Saídas[Produto],A8,TB_Saídas[Valor de Venda])</f>
        <v>0</v>
      </c>
    </row>
    <row r="9" spans="1:3" x14ac:dyDescent="0.3">
      <c r="A9" t="str">
        <v>Manteiga</v>
      </c>
      <c r="B9">
        <f>SUMIF(TB_Saídas[Produto],A9,TB_Saídas[Quantidade Vendida])</f>
        <v>0</v>
      </c>
      <c r="C9" s="10">
        <f>SUMIF(TB_Saídas[Produto],A9,TB_Saídas[Valor de Venda])</f>
        <v>0</v>
      </c>
    </row>
    <row r="10" spans="1:3" x14ac:dyDescent="0.3">
      <c r="A10" t="str">
        <v>Requeijão</v>
      </c>
      <c r="B10">
        <f>SUMIF(TB_Saídas[Produto],A10,TB_Saídas[Quantidade Vendida])</f>
        <v>0</v>
      </c>
      <c r="C10" s="10">
        <f>SUMIF(TB_Saídas[Produto],A10,TB_Saídas[Valor de Venda])</f>
        <v>0</v>
      </c>
    </row>
    <row r="11" spans="1:3" x14ac:dyDescent="0.3">
      <c r="A11" t="str">
        <v>Chocolate Quente</v>
      </c>
      <c r="B11">
        <f>SUMIF(TB_Saídas[Produto],A11,TB_Saídas[Quantidade Vendida])</f>
        <v>500</v>
      </c>
      <c r="C11" s="10">
        <f>SUMIF(TB_Saídas[Produto],A11,TB_Saídas[Valor de Venda])</f>
        <v>4250</v>
      </c>
    </row>
    <row r="12" spans="1:3" x14ac:dyDescent="0.3">
      <c r="A12" t="str">
        <v xml:space="preserve">Leite </v>
      </c>
      <c r="B12">
        <f>SUMIF(TB_Saídas[Produto],A12,TB_Saídas[Quantidade Vendida])</f>
        <v>0</v>
      </c>
      <c r="C12" s="10">
        <f>SUMIF(TB_Saídas[Produto],A12,TB_Saídas[Valor de Venda])</f>
        <v>0</v>
      </c>
    </row>
    <row r="13" spans="1:3" x14ac:dyDescent="0.3">
      <c r="A13" t="str">
        <v>Açúcar</v>
      </c>
      <c r="B13">
        <f>SUMIF(TB_Saídas[Produto],A13,TB_Saídas[Quantidade Vendida])</f>
        <v>0</v>
      </c>
      <c r="C13" s="10">
        <f>SUMIF(TB_Saídas[Produto],A13,TB_Saídas[Valor de Venda])</f>
        <v>0</v>
      </c>
    </row>
    <row r="14" spans="1:3" x14ac:dyDescent="0.3">
      <c r="A14" t="str">
        <v>Mini Pizza</v>
      </c>
      <c r="B14">
        <f>SUMIF(TB_Saídas[Produto],A14,TB_Saídas[Quantidade Vendida])</f>
        <v>90</v>
      </c>
      <c r="C14" s="10">
        <f>SUMIF(TB_Saídas[Produto],A14,TB_Saídas[Valor de Venda])</f>
        <v>450</v>
      </c>
    </row>
    <row r="15" spans="1:3" x14ac:dyDescent="0.3">
      <c r="A15" t="str">
        <v>Chantilly</v>
      </c>
      <c r="B15">
        <f>SUMIF(TB_Saídas[Produto],A15,TB_Saídas[Quantidade Vendida])</f>
        <v>0</v>
      </c>
      <c r="C15" s="10">
        <f>SUMIF(TB_Saídas[Produto],A15,TB_Saídas[Valor de Venda])</f>
        <v>0</v>
      </c>
    </row>
    <row r="16" spans="1:3" x14ac:dyDescent="0.3">
      <c r="A16" t="str">
        <v>Pão de Queijo</v>
      </c>
      <c r="B16">
        <f>SUMIF(TB_Saídas[Produto],A16,TB_Saídas[Quantidade Vendida])</f>
        <v>400</v>
      </c>
      <c r="C16" s="10">
        <f>SUMIF(TB_Saídas[Produto],A16,TB_Saídas[Valor de Venda])</f>
        <v>3000</v>
      </c>
    </row>
    <row r="17" spans="1:3" x14ac:dyDescent="0.3">
      <c r="A17" t="str">
        <v>Suco de Laranja</v>
      </c>
      <c r="B17">
        <f>SUMIF(TB_Saídas[Produto],A17,TB_Saídas[Quantidade Vendida])</f>
        <v>100</v>
      </c>
      <c r="C17" s="10">
        <f>SUMIF(TB_Saídas[Produto],A17,TB_Saídas[Valor de Venda])</f>
        <v>1000</v>
      </c>
    </row>
    <row r="18" spans="1:3" x14ac:dyDescent="0.3">
      <c r="A18" t="str">
        <v>Hamburguer</v>
      </c>
      <c r="B18">
        <f>SUMIF(TB_Saídas[Produto],A18,TB_Saídas[Quantidade Vendida])</f>
        <v>50</v>
      </c>
      <c r="C18" s="10">
        <f>SUMIF(TB_Saídas[Produto],A18,TB_Saídas[Valor de Venda])</f>
        <v>750</v>
      </c>
    </row>
    <row r="19" spans="1:3" x14ac:dyDescent="0.3">
      <c r="A19" t="str">
        <v>Frango</v>
      </c>
      <c r="B19">
        <f>SUMIF(TB_Saídas[Produto],A19,TB_Saídas[Quantidade Vendida])</f>
        <v>30</v>
      </c>
      <c r="C19" s="10">
        <f>SUMIF(TB_Saídas[Produto],A19,TB_Saídas[Valor de Venda])</f>
        <v>450</v>
      </c>
    </row>
    <row r="20" spans="1:3" x14ac:dyDescent="0.3">
      <c r="A20" t="str">
        <v xml:space="preserve">Água </v>
      </c>
      <c r="B20">
        <f>SUMIF(TB_Saídas[Produto],A20,TB_Saídas[Quantidade Vendida])</f>
        <v>0</v>
      </c>
      <c r="C20" s="10">
        <f>SUMIF(TB_Saídas[Produto],A20,TB_Saídas[Valor de Venda])</f>
        <v>0</v>
      </c>
    </row>
    <row r="21" spans="1:3" x14ac:dyDescent="0.3">
      <c r="A21" t="str">
        <v>Cerveja</v>
      </c>
      <c r="B21">
        <f>SUMIF(TB_Saídas[Produto],A21,TB_Saídas[Quantidade Vendida])</f>
        <v>25</v>
      </c>
      <c r="C21" s="10">
        <f>SUMIF(TB_Saídas[Produto],A21,TB_Saídas[Valor de Venda])</f>
        <v>200</v>
      </c>
    </row>
    <row r="22" spans="1:3" x14ac:dyDescent="0.3">
      <c r="A22" t="str">
        <v>Queijo</v>
      </c>
      <c r="B22">
        <f>SUMIF(TB_Saídas[Produto],A22,TB_Saídas[Quantidade Vendida])</f>
        <v>0</v>
      </c>
      <c r="C22" s="10">
        <f>SUMIF(TB_Saídas[Produto],A22,TB_Saídas[Valor de Venda])</f>
        <v>0</v>
      </c>
    </row>
    <row r="23" spans="1:3" x14ac:dyDescent="0.3">
      <c r="A23" t="str">
        <v>Presunto</v>
      </c>
      <c r="B23">
        <f>SUMIF(TB_Saídas[Produto],A23,TB_Saídas[Quantidade Vendida])</f>
        <v>0</v>
      </c>
      <c r="C23" s="10">
        <f>SUMIF(TB_Saídas[Produto],A23,TB_Saídas[Valor de Venda])</f>
        <v>0</v>
      </c>
    </row>
    <row r="24" spans="1:3" x14ac:dyDescent="0.3">
      <c r="A24" t="str">
        <v>Mortadela</v>
      </c>
      <c r="B24">
        <f>SUMIF(TB_Saídas[Produto],A24,TB_Saídas[Quantidade Vendida])</f>
        <v>0</v>
      </c>
      <c r="C24" s="10">
        <f>SUMIF(TB_Saídas[Produto],A24,TB_Saídas[Valor de Venda])</f>
        <v>0</v>
      </c>
    </row>
    <row r="25" spans="1:3" x14ac:dyDescent="0.3">
      <c r="A25" t="str">
        <v>Peito de Peru</v>
      </c>
      <c r="B25">
        <f>SUMIF(TB_Saídas[Produto],A25,TB_Saídas[Quantidade Vendida])</f>
        <v>0</v>
      </c>
      <c r="C25" s="10">
        <f>SUMIF(TB_Saídas[Produto],A25,TB_Saídas[Valor de Venda])</f>
        <v>0</v>
      </c>
    </row>
    <row r="26" spans="1:3" x14ac:dyDescent="0.3">
      <c r="A26" t="str">
        <v>Refrigerante</v>
      </c>
      <c r="B26">
        <f>SUMIF(TB_Saídas[Produto],A26,TB_Saídas[Quantidade Vendida])</f>
        <v>210</v>
      </c>
      <c r="C26" s="10">
        <f>SUMIF(TB_Saídas[Produto],A26,TB_Saídas[Valor de Venda])</f>
        <v>1680</v>
      </c>
    </row>
    <row r="27" spans="1:3" x14ac:dyDescent="0.3">
      <c r="A27" t="str">
        <v>Enroladinho</v>
      </c>
      <c r="B27">
        <f>SUMIF(TB_Saídas[Produto],A27,TB_Saídas[Quantidade Vendida])</f>
        <v>0</v>
      </c>
      <c r="C27" s="10">
        <f>SUMIF(TB_Saídas[Produto],A27,TB_Saídas[Valor de Venda])</f>
        <v>0</v>
      </c>
    </row>
    <row r="28" spans="1:3" x14ac:dyDescent="0.3">
      <c r="B28">
        <f>SUMIF(TB_Saídas[Produto],A28,TB_Saídas[Quantidade Vendida])</f>
        <v>0</v>
      </c>
      <c r="C28" s="10">
        <f>SUMIF(TB_Saídas[Produto],A28,TB_Saídas[Valor de Venda])</f>
        <v>0</v>
      </c>
    </row>
    <row r="29" spans="1:3" x14ac:dyDescent="0.3">
      <c r="B29">
        <f>SUMIF(TB_Saídas[Produto],A29,TB_Saídas[Quantidade Vendida])</f>
        <v>0</v>
      </c>
      <c r="C29" s="10">
        <f>SUMIF(TB_Saídas[Produto],A29,TB_Saídas[Valor de Venda])</f>
        <v>0</v>
      </c>
    </row>
    <row r="30" spans="1:3" x14ac:dyDescent="0.3">
      <c r="B30">
        <f>SUMIF(TB_Saídas[Produto],A30,TB_Saídas[Quantidade Vendida])</f>
        <v>0</v>
      </c>
      <c r="C30" s="10">
        <f>SUMIF(TB_Saídas[Produto],A30,TB_Saídas[Valor de Venda])</f>
        <v>0</v>
      </c>
    </row>
    <row r="31" spans="1:3" x14ac:dyDescent="0.3">
      <c r="B31">
        <f>SUMIF(TB_Saídas[Produto],A31,TB_Saídas[Quantidade Vendida])</f>
        <v>0</v>
      </c>
      <c r="C31" s="10">
        <f>SUMIF(TB_Saídas[Produto],A31,TB_Saídas[Valor de Venda])</f>
        <v>0</v>
      </c>
    </row>
    <row r="32" spans="1:3" x14ac:dyDescent="0.3">
      <c r="B32">
        <f>SUMIF(TB_Saídas[Produto],A32,TB_Saídas[Quantidade Vendida])</f>
        <v>0</v>
      </c>
      <c r="C32" s="10">
        <f>SUMIF(TB_Saídas[Produto],A32,TB_Saídas[Valor de Venda])</f>
        <v>0</v>
      </c>
    </row>
    <row r="33" spans="2:3" x14ac:dyDescent="0.3">
      <c r="B33">
        <f>SUMIF(TB_Saídas[Produto],A33,TB_Saídas[Quantidade Vendida])</f>
        <v>0</v>
      </c>
      <c r="C33" s="10">
        <f>SUMIF(TB_Saídas[Produto],A33,TB_Saídas[Valor de Venda])</f>
        <v>0</v>
      </c>
    </row>
    <row r="34" spans="2:3" x14ac:dyDescent="0.3">
      <c r="B34">
        <f>SUMIF(TB_Saídas[Produto],A34,TB_Saídas[Quantidade Vendida])</f>
        <v>0</v>
      </c>
      <c r="C34" s="10">
        <f>SUMIF(TB_Saídas[Produto],A34,TB_Saídas[Valor de Venda])</f>
        <v>0</v>
      </c>
    </row>
    <row r="35" spans="2:3" x14ac:dyDescent="0.3">
      <c r="B35">
        <f>SUMIF(TB_Saídas[Produto],A35,TB_Saídas[Quantidade Vendida])</f>
        <v>0</v>
      </c>
      <c r="C35" s="10">
        <f>SUMIF(TB_Saídas[Produto],A35,TB_Saídas[Valor de Venda])</f>
        <v>0</v>
      </c>
    </row>
    <row r="36" spans="2:3" x14ac:dyDescent="0.3">
      <c r="B36">
        <f>SUMIF(TB_Saídas[Produto],A36,TB_Saídas[Quantidade Vendida])</f>
        <v>0</v>
      </c>
      <c r="C36" s="10">
        <f>SUMIF(TB_Saídas[Produto],A36,TB_Saídas[Valor de Venda])</f>
        <v>0</v>
      </c>
    </row>
    <row r="37" spans="2:3" x14ac:dyDescent="0.3">
      <c r="B37">
        <f>SUMIF(TB_Saídas[Produto],A37,TB_Saídas[Quantidade Vendida])</f>
        <v>0</v>
      </c>
      <c r="C37" s="10">
        <f>SUMIF(TB_Saídas[Produto],A37,TB_Saídas[Valor de Venda])</f>
        <v>0</v>
      </c>
    </row>
    <row r="38" spans="2:3" x14ac:dyDescent="0.3">
      <c r="B38">
        <f>SUMIF(TB_Saídas[Produto],A38,TB_Saídas[Quantidade Vendida])</f>
        <v>0</v>
      </c>
      <c r="C38" s="10">
        <f>SUMIF(TB_Saídas[Produto],A38,TB_Saídas[Valor de Venda])</f>
        <v>0</v>
      </c>
    </row>
    <row r="39" spans="2:3" x14ac:dyDescent="0.3">
      <c r="B39">
        <f>SUMIF(TB_Saídas[Produto],A39,TB_Saídas[Quantidade Vendida])</f>
        <v>0</v>
      </c>
      <c r="C39" s="10">
        <f>SUMIF(TB_Saídas[Produto],A39,TB_Saídas[Valor de Venda])</f>
        <v>0</v>
      </c>
    </row>
    <row r="40" spans="2:3" x14ac:dyDescent="0.3">
      <c r="B40">
        <f>SUMIF(TB_Saídas[Produto],A40,TB_Saídas[Quantidade Vendida])</f>
        <v>0</v>
      </c>
      <c r="C40" s="10">
        <f>SUMIF(TB_Saídas[Produto],A40,TB_Saídas[Valor de Venda])</f>
        <v>0</v>
      </c>
    </row>
    <row r="41" spans="2:3" x14ac:dyDescent="0.3">
      <c r="B41">
        <f>SUMIF(TB_Saídas[Produto],A41,TB_Saídas[Quantidade Vendida])</f>
        <v>0</v>
      </c>
      <c r="C41" s="10">
        <f>SUMIF(TB_Saídas[Produto],A41,TB_Saídas[Valor de Venda])</f>
        <v>0</v>
      </c>
    </row>
    <row r="42" spans="2:3" x14ac:dyDescent="0.3">
      <c r="B42">
        <f>SUMIF(TB_Saídas[Produto],A42,TB_Saídas[Quantidade Vendida])</f>
        <v>0</v>
      </c>
      <c r="C42" s="10">
        <f>SUMIF(TB_Saídas[Produto],A42,TB_Saídas[Valor de Venda])</f>
        <v>0</v>
      </c>
    </row>
    <row r="43" spans="2:3" x14ac:dyDescent="0.3">
      <c r="B43">
        <f>SUMIF(TB_Saídas[Produto],A43,TB_Saídas[Quantidade Vendida])</f>
        <v>0</v>
      </c>
      <c r="C43" s="10">
        <f>SUMIF(TB_Saídas[Produto],A43,TB_Saídas[Valor de Venda])</f>
        <v>0</v>
      </c>
    </row>
    <row r="44" spans="2:3" x14ac:dyDescent="0.3">
      <c r="B44">
        <f>SUMIF(TB_Saídas[Produto],A44,TB_Saídas[Quantidade Vendida])</f>
        <v>0</v>
      </c>
      <c r="C44" s="10">
        <f>SUMIF(TB_Saídas[Produto],A44,TB_Saídas[Valor de Venda])</f>
        <v>0</v>
      </c>
    </row>
    <row r="45" spans="2:3" x14ac:dyDescent="0.3">
      <c r="B45">
        <f>SUMIF(TB_Saídas[Produto],A45,TB_Saídas[Quantidade Vendida])</f>
        <v>0</v>
      </c>
      <c r="C45" s="10">
        <f>SUMIF(TB_Saídas[Produto],A45,TB_Saídas[Valor de Venda])</f>
        <v>0</v>
      </c>
    </row>
    <row r="46" spans="2:3" x14ac:dyDescent="0.3">
      <c r="B46">
        <f>SUMIF(TB_Saídas[Produto],A46,TB_Saídas[Quantidade Vendida])</f>
        <v>0</v>
      </c>
      <c r="C46" s="10">
        <f>SUMIF(TB_Saídas[Produto],A46,TB_Saídas[Valor de Venda])</f>
        <v>0</v>
      </c>
    </row>
    <row r="47" spans="2:3" x14ac:dyDescent="0.3">
      <c r="B47">
        <f>SUMIF(TB_Saídas[Produto],A47,TB_Saídas[Quantidade Vendida])</f>
        <v>0</v>
      </c>
      <c r="C47" s="10">
        <f>SUMIF(TB_Saídas[Produto],A47,TB_Saídas[Valor de Venda])</f>
        <v>0</v>
      </c>
    </row>
    <row r="48" spans="2:3" x14ac:dyDescent="0.3">
      <c r="B48">
        <f>SUMIF(TB_Saídas[Produto],A48,TB_Saídas[Quantidade Vendida])</f>
        <v>0</v>
      </c>
      <c r="C48" s="10">
        <f>SUMIF(TB_Saídas[Produto],A48,TB_Saídas[Valor de Venda])</f>
        <v>0</v>
      </c>
    </row>
    <row r="49" spans="2:3" x14ac:dyDescent="0.3">
      <c r="B49">
        <f>SUMIF(TB_Saídas[Produto],A49,TB_Saídas[Quantidade Vendida])</f>
        <v>0</v>
      </c>
      <c r="C49" s="10">
        <f>SUMIF(TB_Saídas[Produto],A49,TB_Saídas[Valor de Venda])</f>
        <v>0</v>
      </c>
    </row>
    <row r="50" spans="2:3" x14ac:dyDescent="0.3">
      <c r="B50">
        <f>SUMIF(TB_Saídas[Produto],A50,TB_Saídas[Quantidade Vendida])</f>
        <v>0</v>
      </c>
      <c r="C50" s="10">
        <f>SUMIF(TB_Saídas[Produto],A50,TB_Saídas[Valor de Venda])</f>
        <v>0</v>
      </c>
    </row>
    <row r="51" spans="2:3" x14ac:dyDescent="0.3">
      <c r="B51">
        <f>SUMIF(TB_Saídas[Produto],A51,TB_Saídas[Quantidade Vendida])</f>
        <v>0</v>
      </c>
      <c r="C51" s="10">
        <f>SUMIF(TB_Saídas[Produto],A51,TB_Saídas[Valor de Venda])</f>
        <v>0</v>
      </c>
    </row>
    <row r="52" spans="2:3" x14ac:dyDescent="0.3">
      <c r="B52">
        <f>SUMIF(TB_Saídas[Produto],A52,TB_Saídas[Quantidade Vendida])</f>
        <v>0</v>
      </c>
      <c r="C52" s="10">
        <f>SUMIF(TB_Saídas[Produto],A52,TB_Saídas[Valor de Venda])</f>
        <v>0</v>
      </c>
    </row>
    <row r="53" spans="2:3" x14ac:dyDescent="0.3">
      <c r="B53">
        <f>SUMIF(TB_Saídas[Produto],A53,TB_Saídas[Quantidade Vendida])</f>
        <v>0</v>
      </c>
      <c r="C53" s="10">
        <f>SUMIF(TB_Saídas[Produto],A53,TB_Saídas[Valor de Venda])</f>
        <v>0</v>
      </c>
    </row>
    <row r="54" spans="2:3" x14ac:dyDescent="0.3">
      <c r="B54">
        <f>SUMIF(TB_Saídas[Produto],A54,TB_Saídas[Quantidade Vendida])</f>
        <v>0</v>
      </c>
      <c r="C54" s="10">
        <f>SUMIF(TB_Saídas[Produto],A54,TB_Saídas[Valor de Venda])</f>
        <v>0</v>
      </c>
    </row>
    <row r="55" spans="2:3" x14ac:dyDescent="0.3">
      <c r="B55">
        <f>SUMIF(TB_Saídas[Produto],A55,TB_Saídas[Quantidade Vendida])</f>
        <v>0</v>
      </c>
      <c r="C55" s="10">
        <f>SUMIF(TB_Saídas[Produto],A55,TB_Saídas[Valor de Venda])</f>
        <v>0</v>
      </c>
    </row>
    <row r="56" spans="2:3" x14ac:dyDescent="0.3">
      <c r="B56">
        <f>SUMIF(TB_Saídas[Produto],A56,TB_Saídas[Quantidade Vendida])</f>
        <v>0</v>
      </c>
      <c r="C56" s="10">
        <f>SUMIF(TB_Saídas[Produto],A56,TB_Saídas[Valor de Venda])</f>
        <v>0</v>
      </c>
    </row>
    <row r="57" spans="2:3" x14ac:dyDescent="0.3">
      <c r="B57">
        <f>SUMIF(TB_Saídas[Produto],A57,TB_Saídas[Quantidade Vendida])</f>
        <v>0</v>
      </c>
      <c r="C57" s="10">
        <f>SUMIF(TB_Saídas[Produto],A57,TB_Saídas[Valor de Venda])</f>
        <v>0</v>
      </c>
    </row>
    <row r="58" spans="2:3" x14ac:dyDescent="0.3">
      <c r="B58">
        <f>SUMIF(TB_Saídas[Produto],A58,TB_Saídas[Quantidade Vendida])</f>
        <v>0</v>
      </c>
      <c r="C58" s="10">
        <f>SUMIF(TB_Saídas[Produto],A58,TB_Saídas[Valor de Venda])</f>
        <v>0</v>
      </c>
    </row>
    <row r="59" spans="2:3" x14ac:dyDescent="0.3">
      <c r="B59">
        <f>SUMIF(TB_Saídas[Produto],A59,TB_Saídas[Quantidade Vendida])</f>
        <v>0</v>
      </c>
      <c r="C59" s="10">
        <f>SUMIF(TB_Saídas[Produto],A59,TB_Saídas[Valor de Venda])</f>
        <v>0</v>
      </c>
    </row>
    <row r="60" spans="2:3" x14ac:dyDescent="0.3">
      <c r="B60">
        <f>SUMIF(TB_Saídas[Produto],A60,TB_Saídas[Quantidade Vendida])</f>
        <v>0</v>
      </c>
      <c r="C60" s="10">
        <f>SUMIF(TB_Saídas[Produto],A60,TB_Saídas[Valor de Venda])</f>
        <v>0</v>
      </c>
    </row>
    <row r="61" spans="2:3" x14ac:dyDescent="0.3">
      <c r="B61">
        <f>SUMIF(TB_Saídas[Produto],A61,TB_Saídas[Quantidade Vendida])</f>
        <v>0</v>
      </c>
      <c r="C61" s="10">
        <f>SUMIF(TB_Saídas[Produto],A61,TB_Saídas[Valor de Venda])</f>
        <v>0</v>
      </c>
    </row>
    <row r="62" spans="2:3" x14ac:dyDescent="0.3">
      <c r="B62">
        <f>SUMIF(TB_Saídas[Produto],A62,TB_Saídas[Quantidade Vendida])</f>
        <v>0</v>
      </c>
      <c r="C62" s="10">
        <f>SUMIF(TB_Saídas[Produto],A62,TB_Saídas[Valor de Venda])</f>
        <v>0</v>
      </c>
    </row>
    <row r="63" spans="2:3" x14ac:dyDescent="0.3">
      <c r="B63">
        <f>SUMIF(TB_Saídas[Produto],A63,TB_Saídas[Quantidade Vendida])</f>
        <v>0</v>
      </c>
      <c r="C63" s="10">
        <f>SUMIF(TB_Saídas[Produto],A63,TB_Saídas[Valor de Venda])</f>
        <v>0</v>
      </c>
    </row>
    <row r="64" spans="2:3" x14ac:dyDescent="0.3">
      <c r="B64">
        <f>SUMIF(TB_Saídas[Produto],A64,TB_Saídas[Quantidade Vendida])</f>
        <v>0</v>
      </c>
      <c r="C64" s="10">
        <f>SUMIF(TB_Saídas[Produto],A64,TB_Saídas[Valor de Venda])</f>
        <v>0</v>
      </c>
    </row>
    <row r="65" spans="2:3" x14ac:dyDescent="0.3">
      <c r="B65">
        <f>SUMIF(TB_Saídas[Produto],A65,TB_Saídas[Quantidade Vendida])</f>
        <v>0</v>
      </c>
      <c r="C65" s="10">
        <f>SUMIF(TB_Saídas[Produto],A65,TB_Saídas[Valor de Venda])</f>
        <v>0</v>
      </c>
    </row>
    <row r="66" spans="2:3" x14ac:dyDescent="0.3">
      <c r="B66">
        <f>SUMIF(TB_Saídas[Produto],A66,TB_Saídas[Quantidade Vendida])</f>
        <v>0</v>
      </c>
      <c r="C66" s="10">
        <f>SUMIF(TB_Saídas[Produto],A66,TB_Saídas[Valor de Venda])</f>
        <v>0</v>
      </c>
    </row>
    <row r="67" spans="2:3" x14ac:dyDescent="0.3">
      <c r="B67">
        <f>SUMIF(TB_Saídas[Produto],A67,TB_Saídas[Quantidade Vendida])</f>
        <v>0</v>
      </c>
      <c r="C67" s="10">
        <f>SUMIF(TB_Saídas[Produto],A67,TB_Saídas[Valor de Venda])</f>
        <v>0</v>
      </c>
    </row>
    <row r="68" spans="2:3" x14ac:dyDescent="0.3">
      <c r="B68">
        <f>SUMIF(TB_Saídas[Produto],A68,TB_Saídas[Quantidade Vendida])</f>
        <v>0</v>
      </c>
      <c r="C68" s="10">
        <f>SUMIF(TB_Saídas[Produto],A68,TB_Saídas[Valor de Venda])</f>
        <v>0</v>
      </c>
    </row>
    <row r="69" spans="2:3" x14ac:dyDescent="0.3">
      <c r="B69">
        <f>SUMIF(TB_Saídas[Produto],A69,TB_Saídas[Quantidade Vendida])</f>
        <v>0</v>
      </c>
      <c r="C69" s="10">
        <f>SUMIF(TB_Saídas[Produto],A69,TB_Saídas[Valor de Venda])</f>
        <v>0</v>
      </c>
    </row>
    <row r="70" spans="2:3" x14ac:dyDescent="0.3">
      <c r="B70">
        <f>SUMIF(TB_Saídas[Produto],A70,TB_Saídas[Quantidade Vendida])</f>
        <v>0</v>
      </c>
      <c r="C70" s="10">
        <f>SUMIF(TB_Saídas[Produto],A70,TB_Saídas[Valor de Venda])</f>
        <v>0</v>
      </c>
    </row>
    <row r="71" spans="2:3" x14ac:dyDescent="0.3">
      <c r="B71">
        <f>SUMIF(TB_Saídas[Produto],A71,TB_Saídas[Quantidade Vendida])</f>
        <v>0</v>
      </c>
      <c r="C71" s="10">
        <f>SUMIF(TB_Saídas[Produto],A71,TB_Saídas[Valor de Venda])</f>
        <v>0</v>
      </c>
    </row>
    <row r="72" spans="2:3" x14ac:dyDescent="0.3">
      <c r="B72">
        <f>SUMIF(TB_Saídas[Produto],A72,TB_Saídas[Quantidade Vendida])</f>
        <v>0</v>
      </c>
      <c r="C72" s="10">
        <f>SUMIF(TB_Saídas[Produto],A72,TB_Saídas[Valor de Venda])</f>
        <v>0</v>
      </c>
    </row>
    <row r="73" spans="2:3" x14ac:dyDescent="0.3">
      <c r="B73">
        <f>SUMIF(TB_Saídas[Produto],A73,TB_Saídas[Quantidade Vendida])</f>
        <v>0</v>
      </c>
      <c r="C73" s="10">
        <f>SUMIF(TB_Saídas[Produto],A73,TB_Saídas[Valor de Venda])</f>
        <v>0</v>
      </c>
    </row>
    <row r="74" spans="2:3" x14ac:dyDescent="0.3">
      <c r="B74">
        <f>SUMIF(TB_Saídas[Produto],A74,TB_Saídas[Quantidade Vendida])</f>
        <v>0</v>
      </c>
      <c r="C74" s="10">
        <f>SUMIF(TB_Saídas[Produto],A74,TB_Saídas[Valor de Venda])</f>
        <v>0</v>
      </c>
    </row>
    <row r="75" spans="2:3" x14ac:dyDescent="0.3">
      <c r="B75">
        <f>SUMIF(TB_Saídas[Produto],A75,TB_Saídas[Quantidade Vendida])</f>
        <v>0</v>
      </c>
      <c r="C75" s="10">
        <f>SUMIF(TB_Saídas[Produto],A75,TB_Saídas[Valor de Venda])</f>
        <v>0</v>
      </c>
    </row>
    <row r="76" spans="2:3" x14ac:dyDescent="0.3">
      <c r="B76">
        <f>SUMIF(TB_Saídas[Produto],A76,TB_Saídas[Quantidade Vendida])</f>
        <v>0</v>
      </c>
      <c r="C76" s="10">
        <f>SUMIF(TB_Saídas[Produto],A76,TB_Saídas[Valor de Venda])</f>
        <v>0</v>
      </c>
    </row>
    <row r="77" spans="2:3" x14ac:dyDescent="0.3">
      <c r="B77">
        <f>SUMIF(TB_Saídas[Produto],A77,TB_Saídas[Quantidade Vendida])</f>
        <v>0</v>
      </c>
      <c r="C77" s="10">
        <f>SUMIF(TB_Saídas[Produto],A77,TB_Saídas[Valor de Venda])</f>
        <v>0</v>
      </c>
    </row>
    <row r="78" spans="2:3" x14ac:dyDescent="0.3">
      <c r="B78">
        <f>SUMIF(TB_Saídas[Produto],A78,TB_Saídas[Quantidade Vendida])</f>
        <v>0</v>
      </c>
      <c r="C78" s="10">
        <f>SUMIF(TB_Saídas[Produto],A78,TB_Saídas[Valor de Venda])</f>
        <v>0</v>
      </c>
    </row>
    <row r="79" spans="2:3" x14ac:dyDescent="0.3">
      <c r="B79">
        <f>SUMIF(TB_Saídas[Produto],A79,TB_Saídas[Quantidade Vendida])</f>
        <v>0</v>
      </c>
      <c r="C79" s="10">
        <f>SUMIF(TB_Saídas[Produto],A79,TB_Saídas[Valor de Venda])</f>
        <v>0</v>
      </c>
    </row>
    <row r="80" spans="2:3" x14ac:dyDescent="0.3">
      <c r="B80">
        <f>SUMIF(TB_Saídas[Produto],A80,TB_Saídas[Quantidade Vendida])</f>
        <v>0</v>
      </c>
      <c r="C80" s="10">
        <f>SUMIF(TB_Saídas[Produto],A80,TB_Saídas[Valor de Venda])</f>
        <v>0</v>
      </c>
    </row>
    <row r="81" spans="2:3" x14ac:dyDescent="0.3">
      <c r="B81">
        <f>SUMIF(TB_Saídas[Produto],A81,TB_Saídas[Quantidade Vendida])</f>
        <v>0</v>
      </c>
      <c r="C81" s="10">
        <f>SUMIF(TB_Saídas[Produto],A81,TB_Saídas[Valor de Venda])</f>
        <v>0</v>
      </c>
    </row>
    <row r="82" spans="2:3" x14ac:dyDescent="0.3">
      <c r="B82">
        <f>SUMIF(TB_Saídas[Produto],A82,TB_Saídas[Quantidade Vendida])</f>
        <v>0</v>
      </c>
      <c r="C82" s="10">
        <f>SUMIF(TB_Saídas[Produto],A82,TB_Saídas[Valor de Venda])</f>
        <v>0</v>
      </c>
    </row>
    <row r="83" spans="2:3" x14ac:dyDescent="0.3">
      <c r="B83">
        <f>SUMIF(TB_Saídas[Produto],A83,TB_Saídas[Quantidade Vendida])</f>
        <v>0</v>
      </c>
      <c r="C83" s="10">
        <f>SUMIF(TB_Saídas[Produto],A83,TB_Saídas[Valor de Venda])</f>
        <v>0</v>
      </c>
    </row>
    <row r="84" spans="2:3" x14ac:dyDescent="0.3">
      <c r="B84">
        <f>SUMIF(TB_Saídas[Produto],A84,TB_Saídas[Quantidade Vendida])</f>
        <v>0</v>
      </c>
      <c r="C84" s="10">
        <f>SUMIF(TB_Saídas[Produto],A84,TB_Saídas[Valor de Venda])</f>
        <v>0</v>
      </c>
    </row>
    <row r="85" spans="2:3" x14ac:dyDescent="0.3">
      <c r="B85">
        <f>SUMIF(TB_Saídas[Produto],A85,TB_Saídas[Quantidade Vendida])</f>
        <v>0</v>
      </c>
      <c r="C85" s="10">
        <f>SUMIF(TB_Saídas[Produto],A85,TB_Saídas[Valor de Venda])</f>
        <v>0</v>
      </c>
    </row>
    <row r="86" spans="2:3" x14ac:dyDescent="0.3">
      <c r="B86">
        <f>SUMIF(TB_Saídas[Produto],A86,TB_Saídas[Quantidade Vendida])</f>
        <v>0</v>
      </c>
      <c r="C86" s="10">
        <f>SUMIF(TB_Saídas[Produto],A86,TB_Saídas[Valor de Venda])</f>
        <v>0</v>
      </c>
    </row>
    <row r="87" spans="2:3" x14ac:dyDescent="0.3">
      <c r="B87">
        <f>SUMIF(TB_Saídas[Produto],A87,TB_Saídas[Quantidade Vendida])</f>
        <v>0</v>
      </c>
      <c r="C87" s="10">
        <f>SUMIF(TB_Saídas[Produto],A87,TB_Saídas[Valor de Venda])</f>
        <v>0</v>
      </c>
    </row>
    <row r="88" spans="2:3" x14ac:dyDescent="0.3">
      <c r="B88">
        <f>SUMIF(TB_Saídas[Produto],A88,TB_Saídas[Quantidade Vendida])</f>
        <v>0</v>
      </c>
      <c r="C88" s="10">
        <f>SUMIF(TB_Saídas[Produto],A88,TB_Saídas[Valor de Venda])</f>
        <v>0</v>
      </c>
    </row>
    <row r="89" spans="2:3" x14ac:dyDescent="0.3">
      <c r="B89">
        <f>SUMIF(TB_Saídas[Produto],A89,TB_Saídas[Quantidade Vendida])</f>
        <v>0</v>
      </c>
      <c r="C89" s="10">
        <f>SUMIF(TB_Saídas[Produto],A89,TB_Saídas[Valor de Venda])</f>
        <v>0</v>
      </c>
    </row>
    <row r="90" spans="2:3" x14ac:dyDescent="0.3">
      <c r="B90">
        <f>SUMIF(TB_Saídas[Produto],A90,TB_Saídas[Quantidade Vendida])</f>
        <v>0</v>
      </c>
      <c r="C90" s="10">
        <f>SUMIF(TB_Saídas[Produto],A90,TB_Saídas[Valor de Venda])</f>
        <v>0</v>
      </c>
    </row>
    <row r="91" spans="2:3" x14ac:dyDescent="0.3">
      <c r="B91">
        <f>SUMIF(TB_Saídas[Produto],A91,TB_Saídas[Quantidade Vendida])</f>
        <v>0</v>
      </c>
      <c r="C91" s="10">
        <f>SUMIF(TB_Saídas[Produto],A91,TB_Saídas[Valor de Venda])</f>
        <v>0</v>
      </c>
    </row>
    <row r="92" spans="2:3" x14ac:dyDescent="0.3">
      <c r="B92">
        <f>SUMIF(TB_Saídas[Produto],A92,TB_Saídas[Quantidade Vendida])</f>
        <v>0</v>
      </c>
      <c r="C92" s="10">
        <f>SUMIF(TB_Saídas[Produto],A92,TB_Saídas[Valor de Venda])</f>
        <v>0</v>
      </c>
    </row>
    <row r="93" spans="2:3" x14ac:dyDescent="0.3">
      <c r="B93">
        <f>SUMIF(TB_Saídas[Produto],A93,TB_Saídas[Quantidade Vendida])</f>
        <v>0</v>
      </c>
      <c r="C93" s="10">
        <f>SUMIF(TB_Saídas[Produto],A93,TB_Saídas[Valor de Venda])</f>
        <v>0</v>
      </c>
    </row>
    <row r="94" spans="2:3" x14ac:dyDescent="0.3">
      <c r="B94">
        <f>SUMIF(TB_Saídas[Produto],A94,TB_Saídas[Quantidade Vendida])</f>
        <v>0</v>
      </c>
      <c r="C94" s="10">
        <f>SUMIF(TB_Saídas[Produto],A94,TB_Saídas[Valor de Venda])</f>
        <v>0</v>
      </c>
    </row>
    <row r="95" spans="2:3" x14ac:dyDescent="0.3">
      <c r="B95">
        <f>SUMIF(TB_Saídas[Produto],A95,TB_Saídas[Quantidade Vendida])</f>
        <v>0</v>
      </c>
      <c r="C95" s="10">
        <f>SUMIF(TB_Saídas[Produto],A95,TB_Saídas[Valor de Venda])</f>
        <v>0</v>
      </c>
    </row>
    <row r="96" spans="2:3" x14ac:dyDescent="0.3">
      <c r="B96">
        <f>SUMIF(TB_Saídas[Produto],A96,TB_Saídas[Quantidade Vendida])</f>
        <v>0</v>
      </c>
      <c r="C96" s="10">
        <f>SUMIF(TB_Saídas[Produto],A96,TB_Saídas[Valor de Venda])</f>
        <v>0</v>
      </c>
    </row>
    <row r="97" spans="2:3" x14ac:dyDescent="0.3">
      <c r="B97">
        <f>SUMIF(TB_Saídas[Produto],A97,TB_Saídas[Quantidade Vendida])</f>
        <v>0</v>
      </c>
      <c r="C97" s="10">
        <f>SUMIF(TB_Saídas[Produto],A97,TB_Saídas[Valor de Venda])</f>
        <v>0</v>
      </c>
    </row>
    <row r="98" spans="2:3" x14ac:dyDescent="0.3">
      <c r="B98">
        <f>SUMIF(TB_Saídas[Produto],A98,TB_Saídas[Quantidade Vendida])</f>
        <v>0</v>
      </c>
      <c r="C98" s="10">
        <f>SUMIF(TB_Saídas[Produto],A98,TB_Saídas[Valor de Venda])</f>
        <v>0</v>
      </c>
    </row>
    <row r="99" spans="2:3" x14ac:dyDescent="0.3">
      <c r="B99">
        <f>SUMIF(TB_Saídas[Produto],A99,TB_Saídas[Quantidade Vendida])</f>
        <v>0</v>
      </c>
      <c r="C99" s="10">
        <f>SUMIF(TB_Saídas[Produto],A99,TB_Saídas[Valor de Venda])</f>
        <v>0</v>
      </c>
    </row>
    <row r="100" spans="2:3" x14ac:dyDescent="0.3">
      <c r="B100">
        <f>SUMIF(TB_Saídas[Produto],A100,TB_Saídas[Quantidade Vendida])</f>
        <v>0</v>
      </c>
      <c r="C100" s="10">
        <f>SUMIF(TB_Saídas[Produto],A100,TB_Saídas[Valor de Venda])</f>
        <v>0</v>
      </c>
    </row>
    <row r="101" spans="2:3" x14ac:dyDescent="0.3">
      <c r="B101">
        <f>SUMIF(TB_Saídas[Produto],A101,TB_Saídas[Quantidade Vendida])</f>
        <v>0</v>
      </c>
      <c r="C101" s="10">
        <f>SUMIF(TB_Saídas[Produto],A101,TB_Saídas[Valor de Venda])</f>
        <v>0</v>
      </c>
    </row>
    <row r="102" spans="2:3" x14ac:dyDescent="0.3">
      <c r="B102">
        <f>SUMIF(TB_Saídas[Produto],A102,TB_Saídas[Quantidade Vendida])</f>
        <v>0</v>
      </c>
      <c r="C102" s="10">
        <f>SUMIF(TB_Saídas[Produto],A102,TB_Saídas[Valor de Venda])</f>
        <v>0</v>
      </c>
    </row>
    <row r="103" spans="2:3" x14ac:dyDescent="0.3">
      <c r="B103">
        <f>SUMIF(TB_Saídas[Produto],A103,TB_Saídas[Quantidade Vendida])</f>
        <v>0</v>
      </c>
      <c r="C103" s="10">
        <f>SUMIF(TB_Saídas[Produto],A103,TB_Saídas[Valor de Venda])</f>
        <v>0</v>
      </c>
    </row>
    <row r="104" spans="2:3" x14ac:dyDescent="0.3">
      <c r="B104">
        <f>SUMIF(TB_Saídas[Produto],A104,TB_Saídas[Quantidade Vendida])</f>
        <v>0</v>
      </c>
      <c r="C104" s="10">
        <f>SUMIF(TB_Saídas[Produto],A104,TB_Saídas[Valor de Venda])</f>
        <v>0</v>
      </c>
    </row>
    <row r="105" spans="2:3" x14ac:dyDescent="0.3">
      <c r="B105">
        <f>SUMIF(TB_Saídas[Produto],A105,TB_Saídas[Quantidade Vendida])</f>
        <v>0</v>
      </c>
      <c r="C105" s="10">
        <f>SUMIF(TB_Saídas[Produto],A105,TB_Saídas[Valor de Venda])</f>
        <v>0</v>
      </c>
    </row>
    <row r="106" spans="2:3" x14ac:dyDescent="0.3">
      <c r="B106">
        <f>SUMIF(TB_Saídas[Produto],A106,TB_Saídas[Quantidade Vendida])</f>
        <v>0</v>
      </c>
      <c r="C106" s="10">
        <f>SUMIF(TB_Saídas[Produto],A106,TB_Saídas[Valor de Venda])</f>
        <v>0</v>
      </c>
    </row>
    <row r="107" spans="2:3" x14ac:dyDescent="0.3">
      <c r="B107">
        <f>SUMIF(TB_Saídas[Produto],A107,TB_Saídas[Quantidade Vendida])</f>
        <v>0</v>
      </c>
      <c r="C107" s="10">
        <f>SUMIF(TB_Saídas[Produto],A107,TB_Saídas[Valor de Venda])</f>
        <v>0</v>
      </c>
    </row>
    <row r="108" spans="2:3" x14ac:dyDescent="0.3">
      <c r="B108">
        <f>SUMIF(TB_Saídas[Produto],A108,TB_Saídas[Quantidade Vendida])</f>
        <v>0</v>
      </c>
      <c r="C108" s="10">
        <f>SUMIF(TB_Saídas[Produto],A108,TB_Saídas[Valor de Venda])</f>
        <v>0</v>
      </c>
    </row>
    <row r="109" spans="2:3" x14ac:dyDescent="0.3">
      <c r="B109">
        <f>SUMIF(TB_Saídas[Produto],A109,TB_Saídas[Quantidade Vendida])</f>
        <v>0</v>
      </c>
      <c r="C109" s="10">
        <f>SUMIF(TB_Saídas[Produto],A109,TB_Saídas[Valor de Venda])</f>
        <v>0</v>
      </c>
    </row>
    <row r="110" spans="2:3" x14ac:dyDescent="0.3">
      <c r="B110">
        <f>SUMIF(TB_Saídas[Produto],A110,TB_Saídas[Quantidade Vendida])</f>
        <v>0</v>
      </c>
      <c r="C110" s="10">
        <f>SUMIF(TB_Saídas[Produto],A110,TB_Saídas[Valor de Venda])</f>
        <v>0</v>
      </c>
    </row>
    <row r="111" spans="2:3" x14ac:dyDescent="0.3">
      <c r="B111">
        <f>SUMIF(TB_Saídas[Produto],A111,TB_Saídas[Quantidade Vendida])</f>
        <v>0</v>
      </c>
      <c r="C111" s="10">
        <f>SUMIF(TB_Saídas[Produto],A111,TB_Saídas[Valor de Venda])</f>
        <v>0</v>
      </c>
    </row>
    <row r="112" spans="2:3" x14ac:dyDescent="0.3">
      <c r="B112">
        <f>SUMIF(TB_Saídas[Produto],A112,TB_Saídas[Quantidade Vendida])</f>
        <v>0</v>
      </c>
      <c r="C112" s="10">
        <f>SUMIF(TB_Saídas[Produto],A112,TB_Saídas[Valor de Venda])</f>
        <v>0</v>
      </c>
    </row>
    <row r="113" spans="2:3" x14ac:dyDescent="0.3">
      <c r="B113">
        <f>SUMIF(TB_Saídas[Produto],A113,TB_Saídas[Quantidade Vendida])</f>
        <v>0</v>
      </c>
      <c r="C113" s="10">
        <f>SUMIF(TB_Saídas[Produto],A113,TB_Saídas[Valor de Venda])</f>
        <v>0</v>
      </c>
    </row>
    <row r="114" spans="2:3" x14ac:dyDescent="0.3">
      <c r="B114">
        <f>SUMIF(TB_Saídas[Produto],A114,TB_Saídas[Quantidade Vendida])</f>
        <v>0</v>
      </c>
      <c r="C114" s="10">
        <f>SUMIF(TB_Saídas[Produto],A114,TB_Saídas[Valor de Venda])</f>
        <v>0</v>
      </c>
    </row>
    <row r="115" spans="2:3" x14ac:dyDescent="0.3">
      <c r="B115">
        <f>SUMIF(TB_Saídas[Produto],A115,TB_Saídas[Quantidade Vendida])</f>
        <v>0</v>
      </c>
      <c r="C115" s="10">
        <f>SUMIF(TB_Saídas[Produto],A115,TB_Saídas[Valor de Venda])</f>
        <v>0</v>
      </c>
    </row>
    <row r="116" spans="2:3" x14ac:dyDescent="0.3">
      <c r="B116">
        <f>SUMIF(TB_Saídas[Produto],A116,TB_Saídas[Quantidade Vendida])</f>
        <v>0</v>
      </c>
      <c r="C116" s="10">
        <f>SUMIF(TB_Saídas[Produto],A116,TB_Saídas[Valor de Venda])</f>
        <v>0</v>
      </c>
    </row>
    <row r="117" spans="2:3" x14ac:dyDescent="0.3">
      <c r="B117">
        <f>SUMIF(TB_Saídas[Produto],A117,TB_Saídas[Quantidade Vendida])</f>
        <v>0</v>
      </c>
      <c r="C117" s="10">
        <f>SUMIF(TB_Saídas[Produto],A117,TB_Saídas[Valor de Venda])</f>
        <v>0</v>
      </c>
    </row>
    <row r="118" spans="2:3" x14ac:dyDescent="0.3">
      <c r="B118">
        <f>SUMIF(TB_Saídas[Produto],A118,TB_Saídas[Quantidade Vendida])</f>
        <v>0</v>
      </c>
      <c r="C118" s="10">
        <f>SUMIF(TB_Saídas[Produto],A118,TB_Saídas[Valor de Venda])</f>
        <v>0</v>
      </c>
    </row>
    <row r="119" spans="2:3" x14ac:dyDescent="0.3">
      <c r="B119">
        <f>SUMIF(TB_Saídas[Produto],A119,TB_Saídas[Quantidade Vendida])</f>
        <v>0</v>
      </c>
      <c r="C119" s="10">
        <f>SUMIF(TB_Saídas[Produto],A119,TB_Saídas[Valor de Venda])</f>
        <v>0</v>
      </c>
    </row>
    <row r="120" spans="2:3" x14ac:dyDescent="0.3">
      <c r="B120">
        <f>SUMIF(TB_Saídas[Produto],A120,TB_Saídas[Quantidade Vendida])</f>
        <v>0</v>
      </c>
      <c r="C120" s="10">
        <f>SUMIF(TB_Saídas[Produto],A120,TB_Saídas[Valor de Venda])</f>
        <v>0</v>
      </c>
    </row>
    <row r="121" spans="2:3" x14ac:dyDescent="0.3">
      <c r="B121">
        <f>SUMIF(TB_Saídas[Produto],A121,TB_Saídas[Quantidade Vendida])</f>
        <v>0</v>
      </c>
      <c r="C121" s="10">
        <f>SUMIF(TB_Saídas[Produto],A121,TB_Saídas[Valor de Venda])</f>
        <v>0</v>
      </c>
    </row>
    <row r="122" spans="2:3" x14ac:dyDescent="0.3">
      <c r="B122">
        <f>SUMIF(TB_Saídas[Produto],A122,TB_Saídas[Quantidade Vendida])</f>
        <v>0</v>
      </c>
      <c r="C122" s="10">
        <f>SUMIF(TB_Saídas[Produto],A122,TB_Saídas[Valor de Venda])</f>
        <v>0</v>
      </c>
    </row>
    <row r="123" spans="2:3" x14ac:dyDescent="0.3">
      <c r="B123">
        <f>SUMIF(TB_Saídas[Produto],A123,TB_Saídas[Quantidade Vendida])</f>
        <v>0</v>
      </c>
      <c r="C123" s="10">
        <f>SUMIF(TB_Saídas[Produto],A123,TB_Saídas[Valor de Venda])</f>
        <v>0</v>
      </c>
    </row>
    <row r="124" spans="2:3" x14ac:dyDescent="0.3">
      <c r="B124">
        <f>SUMIF(TB_Saídas[Produto],A124,TB_Saídas[Quantidade Vendida])</f>
        <v>0</v>
      </c>
      <c r="C124" s="10">
        <f>SUMIF(TB_Saídas[Produto],A124,TB_Saídas[Valor de Venda])</f>
        <v>0</v>
      </c>
    </row>
    <row r="125" spans="2:3" x14ac:dyDescent="0.3">
      <c r="B125">
        <f>SUMIF(TB_Saídas[Produto],A125,TB_Saídas[Quantidade Vendida])</f>
        <v>0</v>
      </c>
      <c r="C125" s="10">
        <f>SUMIF(TB_Saídas[Produto],A125,TB_Saídas[Valor de Venda])</f>
        <v>0</v>
      </c>
    </row>
    <row r="126" spans="2:3" x14ac:dyDescent="0.3">
      <c r="B126">
        <f>SUMIF(TB_Saídas[Produto],A126,TB_Saídas[Quantidade Vendida])</f>
        <v>0</v>
      </c>
      <c r="C126" s="10">
        <f>SUMIF(TB_Saídas[Produto],A126,TB_Saídas[Valor de Venda])</f>
        <v>0</v>
      </c>
    </row>
    <row r="127" spans="2:3" x14ac:dyDescent="0.3">
      <c r="B127">
        <f>SUMIF(TB_Saídas[Produto],A127,TB_Saídas[Quantidade Vendida])</f>
        <v>0</v>
      </c>
      <c r="C127" s="10">
        <f>SUMIF(TB_Saídas[Produto],A127,TB_Saídas[Valor de Venda])</f>
        <v>0</v>
      </c>
    </row>
    <row r="128" spans="2:3" x14ac:dyDescent="0.3">
      <c r="B128">
        <f>SUMIF(TB_Saídas[Produto],A128,TB_Saídas[Quantidade Vendida])</f>
        <v>0</v>
      </c>
      <c r="C128" s="10">
        <f>SUMIF(TB_Saídas[Produto],A128,TB_Saídas[Valor de Venda])</f>
        <v>0</v>
      </c>
    </row>
    <row r="129" spans="2:3" x14ac:dyDescent="0.3">
      <c r="B129">
        <f>SUMIF(TB_Saídas[Produto],A129,TB_Saídas[Quantidade Vendida])</f>
        <v>0</v>
      </c>
      <c r="C129" s="10">
        <f>SUMIF(TB_Saídas[Produto],A129,TB_Saídas[Valor de Venda])</f>
        <v>0</v>
      </c>
    </row>
    <row r="130" spans="2:3" x14ac:dyDescent="0.3">
      <c r="B130">
        <f>SUMIF(TB_Saídas[Produto],A130,TB_Saídas[Quantidade Vendida])</f>
        <v>0</v>
      </c>
      <c r="C130" s="10">
        <f>SUMIF(TB_Saídas[Produto],A130,TB_Saídas[Valor de Venda])</f>
        <v>0</v>
      </c>
    </row>
    <row r="131" spans="2:3" x14ac:dyDescent="0.3">
      <c r="B131">
        <f>SUMIF(TB_Saídas[Produto],A131,TB_Saídas[Quantidade Vendida])</f>
        <v>0</v>
      </c>
      <c r="C131" s="10">
        <f>SUMIF(TB_Saídas[Produto],A131,TB_Saídas[Valor de Venda])</f>
        <v>0</v>
      </c>
    </row>
    <row r="132" spans="2:3" x14ac:dyDescent="0.3">
      <c r="B132">
        <f>SUMIF(TB_Saídas[Produto],A132,TB_Saídas[Quantidade Vendida])</f>
        <v>0</v>
      </c>
      <c r="C132" s="10">
        <f>SUMIF(TB_Saídas[Produto],A132,TB_Saídas[Valor de Venda])</f>
        <v>0</v>
      </c>
    </row>
    <row r="133" spans="2:3" x14ac:dyDescent="0.3">
      <c r="B133">
        <f>SUMIF(TB_Saídas[Produto],A133,TB_Saídas[Quantidade Vendida])</f>
        <v>0</v>
      </c>
      <c r="C133" s="10">
        <f>SUMIF(TB_Saídas[Produto],A133,TB_Saídas[Valor de Venda])</f>
        <v>0</v>
      </c>
    </row>
    <row r="134" spans="2:3" x14ac:dyDescent="0.3">
      <c r="B134">
        <f>SUMIF(TB_Saídas[Produto],A134,TB_Saídas[Quantidade Vendida])</f>
        <v>0</v>
      </c>
      <c r="C134" s="10">
        <f>SUMIF(TB_Saídas[Produto],A134,TB_Saídas[Valor de Venda])</f>
        <v>0</v>
      </c>
    </row>
    <row r="135" spans="2:3" x14ac:dyDescent="0.3">
      <c r="B135">
        <f>SUMIF(TB_Saídas[Produto],A135,TB_Saídas[Quantidade Vendida])</f>
        <v>0</v>
      </c>
      <c r="C135" s="10">
        <f>SUMIF(TB_Saídas[Produto],A135,TB_Saídas[Valor de Venda])</f>
        <v>0</v>
      </c>
    </row>
    <row r="136" spans="2:3" x14ac:dyDescent="0.3">
      <c r="B136">
        <f>SUMIF(TB_Saídas[Produto],A136,TB_Saídas[Quantidade Vendida])</f>
        <v>0</v>
      </c>
      <c r="C136" s="10">
        <f>SUMIF(TB_Saídas[Produto],A136,TB_Saídas[Valor de Venda])</f>
        <v>0</v>
      </c>
    </row>
    <row r="137" spans="2:3" x14ac:dyDescent="0.3">
      <c r="B137">
        <f>SUMIF(TB_Saídas[Produto],A137,TB_Saídas[Quantidade Vendida])</f>
        <v>0</v>
      </c>
      <c r="C137" s="10">
        <f>SUMIF(TB_Saídas[Produto],A137,TB_Saídas[Valor de Venda])</f>
        <v>0</v>
      </c>
    </row>
    <row r="138" spans="2:3" x14ac:dyDescent="0.3">
      <c r="B138">
        <f>SUMIF(TB_Saídas[Produto],A138,TB_Saídas[Quantidade Vendida])</f>
        <v>0</v>
      </c>
      <c r="C138" s="10">
        <f>SUMIF(TB_Saídas[Produto],A138,TB_Saídas[Valor de Venda])</f>
        <v>0</v>
      </c>
    </row>
    <row r="139" spans="2:3" x14ac:dyDescent="0.3">
      <c r="B139">
        <f>SUMIF(TB_Saídas[Produto],A139,TB_Saídas[Quantidade Vendida])</f>
        <v>0</v>
      </c>
      <c r="C139" s="10">
        <f>SUMIF(TB_Saídas[Produto],A139,TB_Saídas[Valor de Venda])</f>
        <v>0</v>
      </c>
    </row>
    <row r="140" spans="2:3" x14ac:dyDescent="0.3">
      <c r="B140">
        <f>SUMIF(TB_Saídas[Produto],A140,TB_Saídas[Quantidade Vendida])</f>
        <v>0</v>
      </c>
      <c r="C140" s="10">
        <f>SUMIF(TB_Saídas[Produto],A140,TB_Saídas[Valor de Venda])</f>
        <v>0</v>
      </c>
    </row>
    <row r="141" spans="2:3" x14ac:dyDescent="0.3">
      <c r="B141">
        <f>SUMIF(TB_Saídas[Produto],A141,TB_Saídas[Quantidade Vendida])</f>
        <v>0</v>
      </c>
      <c r="C141" s="10">
        <f>SUMIF(TB_Saídas[Produto],A141,TB_Saídas[Valor de Venda])</f>
        <v>0</v>
      </c>
    </row>
    <row r="142" spans="2:3" x14ac:dyDescent="0.3">
      <c r="B142">
        <f>SUMIF(TB_Saídas[Produto],A142,TB_Saídas[Quantidade Vendida])</f>
        <v>0</v>
      </c>
      <c r="C142" s="10">
        <f>SUMIF(TB_Saídas[Produto],A142,TB_Saídas[Valor de Venda])</f>
        <v>0</v>
      </c>
    </row>
    <row r="143" spans="2:3" x14ac:dyDescent="0.3">
      <c r="B143">
        <f>SUMIF(TB_Saídas[Produto],A143,TB_Saídas[Quantidade Vendida])</f>
        <v>0</v>
      </c>
      <c r="C143" s="10">
        <f>SUMIF(TB_Saídas[Produto],A143,TB_Saídas[Valor de Venda])</f>
        <v>0</v>
      </c>
    </row>
    <row r="144" spans="2:3" x14ac:dyDescent="0.3">
      <c r="B144">
        <f>SUMIF(TB_Saídas[Produto],A144,TB_Saídas[Quantidade Vendida])</f>
        <v>0</v>
      </c>
      <c r="C144" s="10">
        <f>SUMIF(TB_Saídas[Produto],A144,TB_Saídas[Valor de Venda])</f>
        <v>0</v>
      </c>
    </row>
    <row r="145" spans="2:3" x14ac:dyDescent="0.3">
      <c r="B145">
        <f>SUMIF(TB_Saídas[Produto],A145,TB_Saídas[Quantidade Vendida])</f>
        <v>0</v>
      </c>
      <c r="C145" s="10">
        <f>SUMIF(TB_Saídas[Produto],A145,TB_Saídas[Valor de Venda])</f>
        <v>0</v>
      </c>
    </row>
    <row r="146" spans="2:3" x14ac:dyDescent="0.3">
      <c r="B146">
        <f>SUMIF(TB_Saídas[Produto],A146,TB_Saídas[Quantidade Vendida])</f>
        <v>0</v>
      </c>
      <c r="C146" s="10">
        <f>SUMIF(TB_Saídas[Produto],A146,TB_Saídas[Valor de Venda])</f>
        <v>0</v>
      </c>
    </row>
    <row r="147" spans="2:3" x14ac:dyDescent="0.3">
      <c r="B147">
        <f>SUMIF(TB_Saídas[Produto],A147,TB_Saídas[Quantidade Vendida])</f>
        <v>0</v>
      </c>
      <c r="C147" s="10">
        <f>SUMIF(TB_Saídas[Produto],A147,TB_Saídas[Valor de Venda])</f>
        <v>0</v>
      </c>
    </row>
    <row r="148" spans="2:3" x14ac:dyDescent="0.3">
      <c r="B148">
        <f>SUMIF(TB_Saídas[Produto],A148,TB_Saídas[Quantidade Vendida])</f>
        <v>0</v>
      </c>
      <c r="C148" s="10">
        <f>SUMIF(TB_Saídas[Produto],A148,TB_Saídas[Valor de Venda])</f>
        <v>0</v>
      </c>
    </row>
    <row r="149" spans="2:3" x14ac:dyDescent="0.3">
      <c r="B149">
        <f>SUMIF(TB_Saídas[Produto],A149,TB_Saídas[Quantidade Vendida])</f>
        <v>0</v>
      </c>
      <c r="C149" s="10">
        <f>SUMIF(TB_Saídas[Produto],A149,TB_Saídas[Valor de Venda])</f>
        <v>0</v>
      </c>
    </row>
    <row r="150" spans="2:3" x14ac:dyDescent="0.3">
      <c r="B150">
        <f>SUMIF(TB_Saídas[Produto],A150,TB_Saídas[Quantidade Vendida])</f>
        <v>0</v>
      </c>
      <c r="C150" s="10">
        <f>SUMIF(TB_Saídas[Produto],A150,TB_Saídas[Valor de Venda])</f>
        <v>0</v>
      </c>
    </row>
    <row r="151" spans="2:3" x14ac:dyDescent="0.3">
      <c r="B151">
        <f>SUMIF(TB_Saídas[Produto],A151,TB_Saídas[Quantidade Vendida])</f>
        <v>0</v>
      </c>
      <c r="C151" s="10">
        <f>SUMIF(TB_Saídas[Produto],A151,TB_Saídas[Valor de Venda])</f>
        <v>0</v>
      </c>
    </row>
    <row r="152" spans="2:3" x14ac:dyDescent="0.3">
      <c r="B152">
        <f>SUMIF(TB_Saídas[Produto],A152,TB_Saídas[Quantidade Vendida])</f>
        <v>0</v>
      </c>
      <c r="C152" s="10">
        <f>SUMIF(TB_Saídas[Produto],A152,TB_Saídas[Valor de Venda])</f>
        <v>0</v>
      </c>
    </row>
    <row r="153" spans="2:3" x14ac:dyDescent="0.3">
      <c r="B153">
        <f>SUMIF(TB_Saídas[Produto],A153,TB_Saídas[Quantidade Vendida])</f>
        <v>0</v>
      </c>
      <c r="C153" s="10">
        <f>SUMIF(TB_Saídas[Produto],A153,TB_Saídas[Valor de Venda])</f>
        <v>0</v>
      </c>
    </row>
    <row r="154" spans="2:3" x14ac:dyDescent="0.3">
      <c r="B154">
        <f>SUMIF(TB_Saídas[Produto],A154,TB_Saídas[Quantidade Vendida])</f>
        <v>0</v>
      </c>
      <c r="C154" s="10">
        <f>SUMIF(TB_Saídas[Produto],A154,TB_Saídas[Valor de Venda])</f>
        <v>0</v>
      </c>
    </row>
    <row r="155" spans="2:3" x14ac:dyDescent="0.3">
      <c r="B155">
        <f>SUMIF(TB_Saídas[Produto],A155,TB_Saídas[Quantidade Vendida])</f>
        <v>0</v>
      </c>
      <c r="C155" s="10">
        <f>SUMIF(TB_Saídas[Produto],A155,TB_Saídas[Valor de Venda])</f>
        <v>0</v>
      </c>
    </row>
    <row r="156" spans="2:3" x14ac:dyDescent="0.3">
      <c r="B156">
        <f>SUMIF(TB_Saídas[Produto],A156,TB_Saídas[Quantidade Vendida])</f>
        <v>0</v>
      </c>
      <c r="C156" s="10">
        <f>SUMIF(TB_Saídas[Produto],A156,TB_Saídas[Valor de Venda])</f>
        <v>0</v>
      </c>
    </row>
    <row r="157" spans="2:3" x14ac:dyDescent="0.3">
      <c r="B157">
        <f>SUMIF(TB_Saídas[Produto],A157,TB_Saídas[Quantidade Vendida])</f>
        <v>0</v>
      </c>
      <c r="C157" s="10">
        <f>SUMIF(TB_Saídas[Produto],A157,TB_Saídas[Valor de Venda])</f>
        <v>0</v>
      </c>
    </row>
    <row r="158" spans="2:3" x14ac:dyDescent="0.3">
      <c r="B158">
        <f>SUMIF(TB_Saídas[Produto],A158,TB_Saídas[Quantidade Vendida])</f>
        <v>0</v>
      </c>
      <c r="C158" s="10">
        <f>SUMIF(TB_Saídas[Produto],A158,TB_Saídas[Valor de Venda])</f>
        <v>0</v>
      </c>
    </row>
    <row r="159" spans="2:3" x14ac:dyDescent="0.3">
      <c r="B159">
        <f>SUMIF(TB_Saídas[Produto],A159,TB_Saídas[Quantidade Vendida])</f>
        <v>0</v>
      </c>
      <c r="C159" s="10">
        <f>SUMIF(TB_Saídas[Produto],A159,TB_Saídas[Valor de Venda])</f>
        <v>0</v>
      </c>
    </row>
    <row r="160" spans="2:3" x14ac:dyDescent="0.3">
      <c r="B160">
        <f>SUMIF(TB_Saídas[Produto],A160,TB_Saídas[Quantidade Vendida])</f>
        <v>0</v>
      </c>
      <c r="C160" s="10">
        <f>SUMIF(TB_Saídas[Produto],A160,TB_Saídas[Valor de Venda])</f>
        <v>0</v>
      </c>
    </row>
    <row r="161" spans="2:3" x14ac:dyDescent="0.3">
      <c r="B161">
        <f>SUMIF(TB_Saídas[Produto],A161,TB_Saídas[Quantidade Vendida])</f>
        <v>0</v>
      </c>
      <c r="C161" s="10">
        <f>SUMIF(TB_Saídas[Produto],A161,TB_Saídas[Valor de Venda])</f>
        <v>0</v>
      </c>
    </row>
    <row r="162" spans="2:3" x14ac:dyDescent="0.3">
      <c r="B162">
        <f>SUMIF(TB_Saídas[Produto],A162,TB_Saídas[Quantidade Vendida])</f>
        <v>0</v>
      </c>
      <c r="C162" s="10">
        <f>SUMIF(TB_Saídas[Produto],A162,TB_Saídas[Valor de Venda])</f>
        <v>0</v>
      </c>
    </row>
    <row r="163" spans="2:3" x14ac:dyDescent="0.3">
      <c r="B163">
        <f>SUMIF(TB_Saídas[Produto],A163,TB_Saídas[Quantidade Vendida])</f>
        <v>0</v>
      </c>
      <c r="C163" s="10">
        <f>SUMIF(TB_Saídas[Produto],A163,TB_Saídas[Valor de Venda])</f>
        <v>0</v>
      </c>
    </row>
    <row r="164" spans="2:3" x14ac:dyDescent="0.3">
      <c r="B164">
        <f>SUMIF(TB_Saídas[Produto],A164,TB_Saídas[Quantidade Vendida])</f>
        <v>0</v>
      </c>
      <c r="C164" s="10">
        <f>SUMIF(TB_Saídas[Produto],A164,TB_Saídas[Valor de Venda])</f>
        <v>0</v>
      </c>
    </row>
    <row r="165" spans="2:3" x14ac:dyDescent="0.3">
      <c r="B165">
        <f>SUMIF(TB_Saídas[Produto],A165,TB_Saídas[Quantidade Vendida])</f>
        <v>0</v>
      </c>
      <c r="C165" s="10">
        <f>SUMIF(TB_Saídas[Produto],A165,TB_Saídas[Valor de Venda])</f>
        <v>0</v>
      </c>
    </row>
    <row r="166" spans="2:3" x14ac:dyDescent="0.3">
      <c r="B166">
        <f>SUMIF(TB_Saídas[Produto],A166,TB_Saídas[Quantidade Vendida])</f>
        <v>0</v>
      </c>
      <c r="C166" s="10">
        <f>SUMIF(TB_Saídas[Produto],A166,TB_Saídas[Valor de Venda])</f>
        <v>0</v>
      </c>
    </row>
    <row r="167" spans="2:3" x14ac:dyDescent="0.3">
      <c r="B167">
        <f>SUMIF(TB_Saídas[Produto],A167,TB_Saídas[Quantidade Vendida])</f>
        <v>0</v>
      </c>
      <c r="C167" s="10">
        <f>SUMIF(TB_Saídas[Produto],A167,TB_Saídas[Valor de Venda])</f>
        <v>0</v>
      </c>
    </row>
    <row r="168" spans="2:3" x14ac:dyDescent="0.3">
      <c r="B168">
        <f>SUMIF(TB_Saídas[Produto],A168,TB_Saídas[Quantidade Vendida])</f>
        <v>0</v>
      </c>
      <c r="C168" s="10">
        <f>SUMIF(TB_Saídas[Produto],A168,TB_Saídas[Valor de Venda])</f>
        <v>0</v>
      </c>
    </row>
    <row r="169" spans="2:3" x14ac:dyDescent="0.3">
      <c r="B169">
        <f>SUMIF(TB_Saídas[Produto],A169,TB_Saídas[Quantidade Vendida])</f>
        <v>0</v>
      </c>
      <c r="C169" s="10">
        <f>SUMIF(TB_Saídas[Produto],A169,TB_Saídas[Valor de Venda])</f>
        <v>0</v>
      </c>
    </row>
    <row r="170" spans="2:3" x14ac:dyDescent="0.3">
      <c r="B170">
        <f>SUMIF(TB_Saídas[Produto],A170,TB_Saídas[Quantidade Vendida])</f>
        <v>0</v>
      </c>
      <c r="C170" s="10">
        <f>SUMIF(TB_Saídas[Produto],A170,TB_Saídas[Valor de Venda])</f>
        <v>0</v>
      </c>
    </row>
    <row r="171" spans="2:3" x14ac:dyDescent="0.3">
      <c r="B171">
        <f>SUMIF(TB_Saídas[Produto],A171,TB_Saídas[Quantidade Vendida])</f>
        <v>0</v>
      </c>
      <c r="C171" s="10">
        <f>SUMIF(TB_Saídas[Produto],A171,TB_Saídas[Valor de Venda])</f>
        <v>0</v>
      </c>
    </row>
    <row r="172" spans="2:3" x14ac:dyDescent="0.3">
      <c r="B172">
        <f>SUMIF(TB_Saídas[Produto],A172,TB_Saídas[Quantidade Vendida])</f>
        <v>0</v>
      </c>
      <c r="C172" s="10">
        <f>SUMIF(TB_Saídas[Produto],A172,TB_Saídas[Valor de Venda])</f>
        <v>0</v>
      </c>
    </row>
    <row r="173" spans="2:3" x14ac:dyDescent="0.3">
      <c r="B173">
        <f>SUMIF(TB_Saídas[Produto],A173,TB_Saídas[Quantidade Vendida])</f>
        <v>0</v>
      </c>
      <c r="C173" s="10">
        <f>SUMIF(TB_Saídas[Produto],A173,TB_Saídas[Valor de Venda])</f>
        <v>0</v>
      </c>
    </row>
    <row r="174" spans="2:3" x14ac:dyDescent="0.3">
      <c r="B174">
        <f>SUMIF(TB_Saídas[Produto],A174,TB_Saídas[Quantidade Vendida])</f>
        <v>0</v>
      </c>
      <c r="C174" s="10">
        <f>SUMIF(TB_Saídas[Produto],A174,TB_Saídas[Valor de Venda])</f>
        <v>0</v>
      </c>
    </row>
    <row r="175" spans="2:3" x14ac:dyDescent="0.3">
      <c r="B175">
        <f>SUMIF(TB_Saídas[Produto],A175,TB_Saídas[Quantidade Vendida])</f>
        <v>0</v>
      </c>
      <c r="C175" s="10">
        <f>SUMIF(TB_Saídas[Produto],A175,TB_Saídas[Valor de Venda])</f>
        <v>0</v>
      </c>
    </row>
    <row r="176" spans="2:3" x14ac:dyDescent="0.3">
      <c r="B176">
        <f>SUMIF(TB_Saídas[Produto],A176,TB_Saídas[Quantidade Vendida])</f>
        <v>0</v>
      </c>
      <c r="C176" s="10">
        <f>SUMIF(TB_Saídas[Produto],A176,TB_Saídas[Valor de Venda])</f>
        <v>0</v>
      </c>
    </row>
    <row r="177" spans="2:3" x14ac:dyDescent="0.3">
      <c r="B177">
        <f>SUMIF(TB_Saídas[Produto],A177,TB_Saídas[Quantidade Vendida])</f>
        <v>0</v>
      </c>
      <c r="C177" s="10">
        <f>SUMIF(TB_Saídas[Produto],A177,TB_Saídas[Valor de Venda])</f>
        <v>0</v>
      </c>
    </row>
    <row r="178" spans="2:3" x14ac:dyDescent="0.3">
      <c r="B178">
        <f>SUMIF(TB_Saídas[Produto],A178,TB_Saídas[Quantidade Vendida])</f>
        <v>0</v>
      </c>
      <c r="C178" s="10">
        <f>SUMIF(TB_Saídas[Produto],A178,TB_Saídas[Valor de Venda])</f>
        <v>0</v>
      </c>
    </row>
    <row r="179" spans="2:3" x14ac:dyDescent="0.3">
      <c r="B179">
        <f>SUMIF(TB_Saídas[Produto],A179,TB_Saídas[Quantidade Vendida])</f>
        <v>0</v>
      </c>
      <c r="C179" s="10">
        <f>SUMIF(TB_Saídas[Produto],A179,TB_Saídas[Valor de Venda])</f>
        <v>0</v>
      </c>
    </row>
    <row r="180" spans="2:3" x14ac:dyDescent="0.3">
      <c r="B180">
        <f>SUMIF(TB_Saídas[Produto],A180,TB_Saídas[Quantidade Vendida])</f>
        <v>0</v>
      </c>
      <c r="C180" s="10">
        <f>SUMIF(TB_Saídas[Produto],A180,TB_Saídas[Valor de Venda])</f>
        <v>0</v>
      </c>
    </row>
    <row r="181" spans="2:3" x14ac:dyDescent="0.3">
      <c r="B181">
        <f>SUMIF(TB_Saídas[Produto],A181,TB_Saídas[Quantidade Vendida])</f>
        <v>0</v>
      </c>
      <c r="C181" s="10">
        <f>SUMIF(TB_Saídas[Produto],A181,TB_Saídas[Valor de Venda])</f>
        <v>0</v>
      </c>
    </row>
    <row r="182" spans="2:3" x14ac:dyDescent="0.3">
      <c r="B182">
        <f>SUMIF(TB_Saídas[Produto],A182,TB_Saídas[Quantidade Vendida])</f>
        <v>0</v>
      </c>
      <c r="C182" s="10">
        <f>SUMIF(TB_Saídas[Produto],A182,TB_Saídas[Valor de Venda])</f>
        <v>0</v>
      </c>
    </row>
    <row r="183" spans="2:3" x14ac:dyDescent="0.3">
      <c r="B183">
        <f>SUMIF(TB_Saídas[Produto],A183,TB_Saídas[Quantidade Vendida])</f>
        <v>0</v>
      </c>
      <c r="C183" s="10">
        <f>SUMIF(TB_Saídas[Produto],A183,TB_Saídas[Valor de Venda])</f>
        <v>0</v>
      </c>
    </row>
    <row r="184" spans="2:3" x14ac:dyDescent="0.3">
      <c r="B184">
        <f>SUMIF(TB_Saídas[Produto],A184,TB_Saídas[Quantidade Vendida])</f>
        <v>0</v>
      </c>
      <c r="C184" s="10">
        <f>SUMIF(TB_Saídas[Produto],A184,TB_Saídas[Valor de Venda])</f>
        <v>0</v>
      </c>
    </row>
    <row r="185" spans="2:3" x14ac:dyDescent="0.3">
      <c r="B185">
        <f>SUMIF(TB_Saídas[Produto],A185,TB_Saídas[Quantidade Vendida])</f>
        <v>0</v>
      </c>
      <c r="C185" s="10">
        <f>SUMIF(TB_Saídas[Produto],A185,TB_Saídas[Valor de Venda])</f>
        <v>0</v>
      </c>
    </row>
    <row r="186" spans="2:3" x14ac:dyDescent="0.3">
      <c r="B186">
        <f>SUMIF(TB_Saídas[Produto],A186,TB_Saídas[Quantidade Vendida])</f>
        <v>0</v>
      </c>
      <c r="C186" s="10">
        <f>SUMIF(TB_Saídas[Produto],A186,TB_Saídas[Valor de Venda])</f>
        <v>0</v>
      </c>
    </row>
    <row r="187" spans="2:3" x14ac:dyDescent="0.3">
      <c r="B187">
        <f>SUMIF(TB_Saídas[Produto],A187,TB_Saídas[Quantidade Vendida])</f>
        <v>0</v>
      </c>
      <c r="C187" s="10">
        <f>SUMIF(TB_Saídas[Produto],A187,TB_Saídas[Valor de Venda])</f>
        <v>0</v>
      </c>
    </row>
    <row r="188" spans="2:3" x14ac:dyDescent="0.3">
      <c r="B188">
        <f>SUMIF(TB_Saídas[Produto],A188,TB_Saídas[Quantidade Vendida])</f>
        <v>0</v>
      </c>
      <c r="C188" s="10">
        <f>SUMIF(TB_Saídas[Produto],A188,TB_Saídas[Valor de Venda])</f>
        <v>0</v>
      </c>
    </row>
    <row r="189" spans="2:3" x14ac:dyDescent="0.3">
      <c r="B189">
        <f>SUMIF(TB_Saídas[Produto],A189,TB_Saídas[Quantidade Vendida])</f>
        <v>0</v>
      </c>
      <c r="C189" s="10">
        <f>SUMIF(TB_Saídas[Produto],A189,TB_Saídas[Valor de Venda])</f>
        <v>0</v>
      </c>
    </row>
    <row r="190" spans="2:3" x14ac:dyDescent="0.3">
      <c r="B190">
        <f>SUMIF(TB_Saídas[Produto],A190,TB_Saídas[Quantidade Vendida])</f>
        <v>0</v>
      </c>
      <c r="C190" s="10">
        <f>SUMIF(TB_Saídas[Produto],A190,TB_Saídas[Valor de Venda])</f>
        <v>0</v>
      </c>
    </row>
    <row r="191" spans="2:3" x14ac:dyDescent="0.3">
      <c r="B191">
        <f>SUMIF(TB_Saídas[Produto],A191,TB_Saídas[Quantidade Vendida])</f>
        <v>0</v>
      </c>
      <c r="C191" s="10">
        <f>SUMIF(TB_Saídas[Produto],A191,TB_Saídas[Valor de Venda])</f>
        <v>0</v>
      </c>
    </row>
    <row r="192" spans="2:3" x14ac:dyDescent="0.3">
      <c r="B192">
        <f>SUMIF(TB_Saídas[Produto],A192,TB_Saídas[Quantidade Vendida])</f>
        <v>0</v>
      </c>
      <c r="C192" s="10">
        <f>SUMIF(TB_Saídas[Produto],A192,TB_Saídas[Valor de Venda])</f>
        <v>0</v>
      </c>
    </row>
    <row r="193" spans="2:3" x14ac:dyDescent="0.3">
      <c r="B193">
        <f>SUMIF(TB_Saídas[Produto],A193,TB_Saídas[Quantidade Vendida])</f>
        <v>0</v>
      </c>
      <c r="C193" s="10">
        <f>SUMIF(TB_Saídas[Produto],A193,TB_Saídas[Valor de Venda])</f>
        <v>0</v>
      </c>
    </row>
    <row r="194" spans="2:3" x14ac:dyDescent="0.3">
      <c r="B194">
        <f>SUMIF(TB_Saídas[Produto],A194,TB_Saídas[Quantidade Vendida])</f>
        <v>0</v>
      </c>
      <c r="C194" s="10">
        <f>SUMIF(TB_Saídas[Produto],A194,TB_Saídas[Valor de Venda])</f>
        <v>0</v>
      </c>
    </row>
    <row r="195" spans="2:3" x14ac:dyDescent="0.3">
      <c r="B195">
        <f>SUMIF(TB_Saídas[Produto],A195,TB_Saídas[Quantidade Vendida])</f>
        <v>0</v>
      </c>
      <c r="C195" s="10">
        <f>SUMIF(TB_Saídas[Produto],A195,TB_Saídas[Valor de Venda])</f>
        <v>0</v>
      </c>
    </row>
    <row r="196" spans="2:3" x14ac:dyDescent="0.3">
      <c r="B196">
        <f>SUMIF(TB_Saídas[Produto],A196,TB_Saídas[Quantidade Vendida])</f>
        <v>0</v>
      </c>
      <c r="C196" s="10">
        <f>SUMIF(TB_Saídas[Produto],A196,TB_Saídas[Valor de Venda])</f>
        <v>0</v>
      </c>
    </row>
    <row r="197" spans="2:3" x14ac:dyDescent="0.3">
      <c r="B197">
        <f>SUMIF(TB_Saídas[Produto],A197,TB_Saídas[Quantidade Vendida])</f>
        <v>0</v>
      </c>
      <c r="C197" s="10">
        <f>SUMIF(TB_Saídas[Produto],A197,TB_Saídas[Valor de Venda])</f>
        <v>0</v>
      </c>
    </row>
    <row r="198" spans="2:3" x14ac:dyDescent="0.3">
      <c r="B198">
        <f>SUMIF(TB_Saídas[Produto],A198,TB_Saídas[Quantidade Vendida])</f>
        <v>0</v>
      </c>
      <c r="C198" s="10">
        <f>SUMIF(TB_Saídas[Produto],A198,TB_Saídas[Valor de Venda])</f>
        <v>0</v>
      </c>
    </row>
    <row r="199" spans="2:3" x14ac:dyDescent="0.3">
      <c r="B199">
        <f>SUMIF(TB_Saídas[Produto],A199,TB_Saídas[Quantidade Vendida])</f>
        <v>0</v>
      </c>
      <c r="C199" s="10">
        <f>SUMIF(TB_Saídas[Produto],A199,TB_Saídas[Valor de Venda])</f>
        <v>0</v>
      </c>
    </row>
    <row r="200" spans="2:3" x14ac:dyDescent="0.3">
      <c r="B200">
        <f>SUMIF(TB_Saídas[Produto],A200,TB_Saídas[Quantidade Vendida])</f>
        <v>0</v>
      </c>
      <c r="C200" s="10">
        <f>SUMIF(TB_Saídas[Produto],A200,TB_Saídas[Valor de Venda])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5387-DA16-4F73-A97C-38B09EAE6A43}">
  <dimension ref="B1:Q18"/>
  <sheetViews>
    <sheetView showGridLines="0" zoomScale="110" zoomScaleNormal="110" workbookViewId="0">
      <selection activeCell="E10" sqref="E10"/>
    </sheetView>
  </sheetViews>
  <sheetFormatPr defaultRowHeight="14.4" x14ac:dyDescent="0.3"/>
  <cols>
    <col min="1" max="1" width="3.88671875" customWidth="1"/>
    <col min="2" max="2" width="18.5546875" customWidth="1"/>
    <col min="3" max="6" width="13.44140625" customWidth="1"/>
    <col min="7" max="7" width="15" customWidth="1"/>
    <col min="8" max="8" width="14.33203125" customWidth="1"/>
    <col min="9" max="10" width="13.44140625" customWidth="1"/>
    <col min="11" max="13" width="2.33203125" customWidth="1"/>
    <col min="14" max="14" width="14.33203125" customWidth="1"/>
    <col min="15" max="15" width="2.33203125" customWidth="1"/>
    <col min="16" max="16" width="18.5546875" customWidth="1"/>
    <col min="17" max="17" width="2.33203125" customWidth="1"/>
  </cols>
  <sheetData>
    <row r="1" spans="2:17" s="29" customFormat="1" ht="60" customHeight="1" x14ac:dyDescent="0.3">
      <c r="F1" s="37" t="s">
        <v>72</v>
      </c>
    </row>
    <row r="2" spans="2:17" s="32" customFormat="1" ht="6" customHeight="1" x14ac:dyDescent="0.3">
      <c r="F2" s="33"/>
    </row>
    <row r="5" spans="2:17" s="11" customFormat="1" ht="28.8" x14ac:dyDescent="0.3">
      <c r="B5" s="39" t="s">
        <v>1</v>
      </c>
      <c r="C5" s="39" t="s">
        <v>73</v>
      </c>
      <c r="D5" s="39" t="s">
        <v>74</v>
      </c>
      <c r="E5" s="39" t="s">
        <v>75</v>
      </c>
      <c r="F5" s="39" t="s">
        <v>3</v>
      </c>
      <c r="G5" s="39" t="s">
        <v>76</v>
      </c>
      <c r="H5" s="39" t="s">
        <v>67</v>
      </c>
      <c r="I5" s="39" t="s">
        <v>77</v>
      </c>
      <c r="J5" s="39" t="s">
        <v>78</v>
      </c>
    </row>
    <row r="6" spans="2:17" x14ac:dyDescent="0.3">
      <c r="B6" t="s">
        <v>36</v>
      </c>
      <c r="C6" s="2">
        <f>IFERROR(SUMIF(TB_Entradas[Produto],TB_ControleEstoque[[#This Row],[Produto]],TB_Entradas[Quantidade Comprada]),0)</f>
        <v>350</v>
      </c>
      <c r="D6" s="2">
        <f>IFERROR(SUMIF(TB_Saídas[Produto],TB_ControleEstoque[[#This Row],[Produto]],TB_Saídas[Quantidade Vendida]),0)</f>
        <v>210</v>
      </c>
      <c r="E6" s="2">
        <f>TB_ControleEstoque[[#This Row],[Entradas]]-TB_ControleEstoque[[#This Row],[Saídas ]]</f>
        <v>140</v>
      </c>
      <c r="F6" s="2">
        <f>_xlfn.XLOOKUP(TB_ControleEstoque[[#This Row],[Produto]],TB_Produtos[Produto],TB_Produtos[Estoque Mínimo],"Erro",0,1)</f>
        <v>10</v>
      </c>
      <c r="G6" t="str" cm="1">
        <f t="array" ref="G6">_xlfn.IFS(TB_ControleEstoque[[#This Row],[Saldo em Estoque]]&gt;TB_ControleEstoque[[#This Row],[Estoque Mínimo]],"Estoque OK",TB_ControleEstoque[[#This Row],[Saldo em Estoque]]=0,"Estoque Zerado",1,"Repor Estoque")</f>
        <v>Estoque OK</v>
      </c>
      <c r="H6" s="12">
        <f>SUMIFS(TB_Saídas[Valor de Venda],TB_Saídas[Produto],TB_ControleEstoque[[#This Row],[Produto]])</f>
        <v>1680</v>
      </c>
      <c r="I6" s="10">
        <f>SUMIFS(TB_Entradas[Valor da Compra],TB_Entradas[Produto],TB_ControleEstoque[[#This Row],[Produto]])</f>
        <v>700</v>
      </c>
      <c r="J6" s="10">
        <f>TB_ControleEstoque[[#This Row],[Valor de Venda]]-TB_ControleEstoque[[#This Row],[Custo Total]]</f>
        <v>980</v>
      </c>
      <c r="M6" s="49"/>
      <c r="N6" s="49"/>
      <c r="O6" s="49"/>
      <c r="P6" s="49"/>
      <c r="Q6" s="49"/>
    </row>
    <row r="7" spans="2:17" ht="18" x14ac:dyDescent="0.4">
      <c r="B7" t="s">
        <v>6</v>
      </c>
      <c r="C7" s="2">
        <f>IFERROR(SUMIF(TB_Entradas[Produto],TB_ControleEstoque[[#This Row],[Produto]],TB_Entradas[Quantidade Comprada]),0)</f>
        <v>1635</v>
      </c>
      <c r="D7" s="2">
        <f>IFERROR(SUMIF(TB_Saídas[Produto],TB_ControleEstoque[[#This Row],[Produto]],TB_Saídas[Quantidade Vendida]),0)</f>
        <v>945</v>
      </c>
      <c r="E7" s="2">
        <f>TB_ControleEstoque[[#This Row],[Entradas]]-TB_ControleEstoque[[#This Row],[Saídas ]]</f>
        <v>690</v>
      </c>
      <c r="F7" s="2">
        <f>_xlfn.XLOOKUP(TB_ControleEstoque[[#This Row],[Produto]],TB_Produtos[Produto],TB_Produtos[Estoque Mínimo],"Erro",0,1)</f>
        <v>50</v>
      </c>
      <c r="G7" t="str" cm="1">
        <f t="array" ref="G7">_xlfn.IFS(TB_ControleEstoque[[#This Row],[Saldo em Estoque]]&gt;TB_ControleEstoque[[#This Row],[Estoque Mínimo]],"Estoque OK",TB_ControleEstoque[[#This Row],[Saldo em Estoque]]=0,"Estoque Zerado",1,"Repor Estoque")</f>
        <v>Estoque OK</v>
      </c>
      <c r="H7" s="12">
        <f>SUMIFS(TB_Saídas[Valor de Venda],TB_Saídas[Produto],TB_ControleEstoque[[#This Row],[Produto]])</f>
        <v>5670</v>
      </c>
      <c r="I7" s="10">
        <f>SUMIFS(TB_Entradas[Valor da Compra],TB_Entradas[Produto],TB_ControleEstoque[[#This Row],[Produto]])</f>
        <v>3270</v>
      </c>
      <c r="J7" s="10">
        <f>TB_ControleEstoque[[#This Row],[Valor de Venda]]-TB_ControleEstoque[[#This Row],[Custo Total]]</f>
        <v>2400</v>
      </c>
      <c r="L7" s="71"/>
      <c r="M7" s="49"/>
      <c r="N7" s="234" t="s">
        <v>79</v>
      </c>
      <c r="O7" s="234"/>
      <c r="P7" s="234"/>
      <c r="Q7" s="49"/>
    </row>
    <row r="8" spans="2:17" ht="16.2" x14ac:dyDescent="0.35">
      <c r="B8" t="s">
        <v>26</v>
      </c>
      <c r="C8" s="2">
        <f>IFERROR(SUMIF(TB_Entradas[Produto],TB_ControleEstoque[[#This Row],[Produto]],TB_Entradas[Quantidade Comprada]),0)</f>
        <v>100</v>
      </c>
      <c r="D8" s="2">
        <f>IFERROR(SUMIF(TB_Saídas[Produto],TB_ControleEstoque[[#This Row],[Produto]],TB_Saídas[Quantidade Vendida]),0)</f>
        <v>100</v>
      </c>
      <c r="E8" s="2">
        <f>TB_ControleEstoque[[#This Row],[Entradas]]-TB_ControleEstoque[[#This Row],[Saídas ]]</f>
        <v>0</v>
      </c>
      <c r="F8" s="2">
        <f>_xlfn.XLOOKUP(TB_ControleEstoque[[#This Row],[Produto]],TB_Produtos[Produto],TB_Produtos[Estoque Mínimo],"Erro",0,1)</f>
        <v>5</v>
      </c>
      <c r="G8" t="str" cm="1">
        <f t="array" ref="G8">_xlfn.IFS(TB_ControleEstoque[[#This Row],[Saldo em Estoque]]&gt;TB_ControleEstoque[[#This Row],[Estoque Mínimo]],"Estoque OK",TB_ControleEstoque[[#This Row],[Saldo em Estoque]]=0,"Estoque Zerado",1,"Repor Estoque")</f>
        <v>Estoque Zerado</v>
      </c>
      <c r="H8" s="12">
        <f>SUMIFS(TB_Saídas[Valor de Venda],TB_Saídas[Produto],TB_ControleEstoque[[#This Row],[Produto]])</f>
        <v>1000</v>
      </c>
      <c r="I8" s="10">
        <f>SUMIFS(TB_Entradas[Valor da Compra],TB_Entradas[Produto],TB_ControleEstoque[[#This Row],[Produto]])</f>
        <v>75</v>
      </c>
      <c r="J8" s="10">
        <f>TB_ControleEstoque[[#This Row],[Valor de Venda]]-TB_ControleEstoque[[#This Row],[Custo Total]]</f>
        <v>925</v>
      </c>
      <c r="L8" s="71"/>
      <c r="M8" s="49"/>
      <c r="N8" s="73" t="s">
        <v>78</v>
      </c>
      <c r="O8" s="72"/>
      <c r="P8" s="73" t="s">
        <v>1</v>
      </c>
      <c r="Q8" s="49"/>
    </row>
    <row r="9" spans="2:17" x14ac:dyDescent="0.3">
      <c r="B9" t="s">
        <v>31</v>
      </c>
      <c r="C9" s="2">
        <f>IFERROR(SUMIF(TB_Entradas[Produto],TB_ControleEstoque[[#This Row],[Produto]],TB_Entradas[Quantidade Comprada]),0)</f>
        <v>50</v>
      </c>
      <c r="D9" s="2">
        <f>IFERROR(SUMIF(TB_Saídas[Produto],TB_ControleEstoque[[#This Row],[Produto]],TB_Saídas[Quantidade Vendida]),0)</f>
        <v>25</v>
      </c>
      <c r="E9" s="2">
        <f>TB_ControleEstoque[[#This Row],[Entradas]]-TB_ControleEstoque[[#This Row],[Saídas ]]</f>
        <v>25</v>
      </c>
      <c r="F9" s="2">
        <f>_xlfn.XLOOKUP(TB_ControleEstoque[[#This Row],[Produto]],TB_Produtos[Produto],TB_Produtos[Estoque Mínimo],"Erro",0,1)</f>
        <v>5</v>
      </c>
      <c r="G9" t="str" cm="1">
        <f t="array" ref="G9">_xlfn.IFS(TB_ControleEstoque[[#This Row],[Saldo em Estoque]]&gt;TB_ControleEstoque[[#This Row],[Estoque Mínimo]],"Estoque OK",TB_ControleEstoque[[#This Row],[Saldo em Estoque]]=0,"Estoque Zerado",1,"Repor Estoque")</f>
        <v>Estoque OK</v>
      </c>
      <c r="H9" s="12">
        <f>SUMIFS(TB_Saídas[Valor de Venda],TB_Saídas[Produto],TB_ControleEstoque[[#This Row],[Produto]])</f>
        <v>200</v>
      </c>
      <c r="I9" s="10">
        <f>SUMIFS(TB_Entradas[Valor da Compra],TB_Entradas[Produto],TB_ControleEstoque[[#This Row],[Produto]])</f>
        <v>37.5</v>
      </c>
      <c r="J9" s="10">
        <f>TB_ControleEstoque[[#This Row],[Valor de Venda]]-TB_ControleEstoque[[#This Row],[Custo Total]]</f>
        <v>162.5</v>
      </c>
      <c r="L9" s="71"/>
      <c r="M9" s="49"/>
      <c r="N9" s="235">
        <f>LARGE(TB_ControleEstoque[Lucro],1)</f>
        <v>4062.5</v>
      </c>
      <c r="O9" s="49"/>
      <c r="P9" s="237" t="str">
        <f>DGET(TB_ControleEstoque[#All],1,N8:N9)</f>
        <v>Chocolate Quente</v>
      </c>
      <c r="Q9" s="49"/>
    </row>
    <row r="10" spans="2:17" x14ac:dyDescent="0.3">
      <c r="B10" t="s">
        <v>19</v>
      </c>
      <c r="C10" s="2">
        <f>IFERROR(SUMIF(TB_Entradas[Produto],TB_ControleEstoque[[#This Row],[Produto]],TB_Entradas[Quantidade Comprada]),0)</f>
        <v>750</v>
      </c>
      <c r="D10" s="2">
        <f>IFERROR(SUMIF(TB_Saídas[Produto],TB_ControleEstoque[[#This Row],[Produto]],TB_Saídas[Quantidade Vendida]),0)</f>
        <v>500</v>
      </c>
      <c r="E10" s="2">
        <f>TB_ControleEstoque[[#This Row],[Entradas]]-TB_ControleEstoque[[#This Row],[Saídas ]]</f>
        <v>250</v>
      </c>
      <c r="F10" s="2">
        <f>_xlfn.XLOOKUP(TB_ControleEstoque[[#This Row],[Produto]],TB_Produtos[Produto],TB_Produtos[Estoque Mínimo],"Erro",0,1)</f>
        <v>10</v>
      </c>
      <c r="G10" t="str" cm="1">
        <f t="array" ref="G10">_xlfn.IFS(TB_ControleEstoque[[#This Row],[Saldo em Estoque]]&gt;TB_ControleEstoque[[#This Row],[Estoque Mínimo]],"Estoque OK",TB_ControleEstoque[[#This Row],[Saldo em Estoque]]=0,"Estoque Zerado",1,"Repor Estoque")</f>
        <v>Estoque OK</v>
      </c>
      <c r="H10" s="12">
        <f>SUMIFS(TB_Saídas[Valor de Venda],TB_Saídas[Produto],TB_ControleEstoque[[#This Row],[Produto]])</f>
        <v>4250</v>
      </c>
      <c r="I10" s="10">
        <f>SUMIFS(TB_Entradas[Valor da Compra],TB_Entradas[Produto],TB_ControleEstoque[[#This Row],[Produto]])</f>
        <v>187.5</v>
      </c>
      <c r="J10" s="10">
        <f>TB_ControleEstoque[[#This Row],[Valor de Venda]]-TB_ControleEstoque[[#This Row],[Custo Total]]</f>
        <v>4062.5</v>
      </c>
      <c r="L10" s="71"/>
      <c r="M10" s="49"/>
      <c r="N10" s="236"/>
      <c r="O10" s="49"/>
      <c r="P10" s="238"/>
      <c r="Q10" s="49"/>
    </row>
    <row r="11" spans="2:17" x14ac:dyDescent="0.3">
      <c r="B11" t="s">
        <v>25</v>
      </c>
      <c r="C11" s="2">
        <f>IFERROR(SUMIF(TB_Entradas[Produto],TB_ControleEstoque[[#This Row],[Produto]],TB_Entradas[Quantidade Comprada]),0)</f>
        <v>620</v>
      </c>
      <c r="D11" s="2">
        <f>IFERROR(SUMIF(TB_Saídas[Produto],TB_ControleEstoque[[#This Row],[Produto]],TB_Saídas[Quantidade Vendida]),0)</f>
        <v>400</v>
      </c>
      <c r="E11" s="2">
        <f>TB_ControleEstoque[[#This Row],[Entradas]]-TB_ControleEstoque[[#This Row],[Saídas ]]</f>
        <v>220</v>
      </c>
      <c r="F11" s="2">
        <f>_xlfn.XLOOKUP(TB_ControleEstoque[[#This Row],[Produto]],TB_Produtos[Produto],TB_Produtos[Estoque Mínimo],"Erro",0,1)</f>
        <v>10</v>
      </c>
      <c r="G11" t="str" cm="1">
        <f t="array" ref="G11">_xlfn.IFS(TB_ControleEstoque[[#This Row],[Saldo em Estoque]]&gt;TB_ControleEstoque[[#This Row],[Estoque Mínimo]],"Estoque OK",TB_ControleEstoque[[#This Row],[Saldo em Estoque]]=0,"Estoque Zerado",1,"Repor Estoque")</f>
        <v>Estoque OK</v>
      </c>
      <c r="H11" s="12">
        <f>SUMIFS(TB_Saídas[Valor de Venda],TB_Saídas[Produto],TB_ControleEstoque[[#This Row],[Produto]])</f>
        <v>3000</v>
      </c>
      <c r="I11" s="10">
        <f>SUMIFS(TB_Entradas[Valor da Compra],TB_Entradas[Produto],TB_ControleEstoque[[#This Row],[Produto]])</f>
        <v>155</v>
      </c>
      <c r="J11" s="10">
        <f>TB_ControleEstoque[[#This Row],[Valor de Venda]]-TB_ControleEstoque[[#This Row],[Custo Total]]</f>
        <v>2845</v>
      </c>
      <c r="L11" s="71"/>
      <c r="M11" s="49"/>
      <c r="N11" s="49"/>
      <c r="O11" s="49"/>
      <c r="P11" s="49"/>
      <c r="Q11" s="49"/>
    </row>
    <row r="12" spans="2:17" x14ac:dyDescent="0.3">
      <c r="B12" t="s">
        <v>10</v>
      </c>
      <c r="C12" s="2">
        <f>IFERROR(SUMIF(TB_Entradas[Produto],TB_ControleEstoque[[#This Row],[Produto]],TB_Entradas[Quantidade Comprada]),0)</f>
        <v>550</v>
      </c>
      <c r="D12" s="2">
        <f>IFERROR(SUMIF(TB_Saídas[Produto],TB_ControleEstoque[[#This Row],[Produto]],TB_Saídas[Quantidade Vendida]),0)</f>
        <v>245</v>
      </c>
      <c r="E12" s="2">
        <f>TB_ControleEstoque[[#This Row],[Entradas]]-TB_ControleEstoque[[#This Row],[Saídas ]]</f>
        <v>305</v>
      </c>
      <c r="F12" s="2">
        <f>_xlfn.XLOOKUP(TB_ControleEstoque[[#This Row],[Produto]],TB_Produtos[Produto],TB_Produtos[Estoque Mínimo],"Erro",0,1)</f>
        <v>50</v>
      </c>
      <c r="G12" t="str" cm="1">
        <f t="array" ref="G12">_xlfn.IFS(TB_ControleEstoque[[#This Row],[Saldo em Estoque]]&gt;TB_ControleEstoque[[#This Row],[Estoque Mínimo]],"Estoque OK",TB_ControleEstoque[[#This Row],[Saldo em Estoque]]=0,"Estoque Zerado",1,"Repor Estoque")</f>
        <v>Estoque OK</v>
      </c>
      <c r="H12" s="12">
        <f>SUMIFS(TB_Saídas[Valor de Venda],TB_Saídas[Produto],TB_ControleEstoque[[#This Row],[Produto]])</f>
        <v>1592.5</v>
      </c>
      <c r="I12" s="10">
        <f>SUMIFS(TB_Entradas[Valor da Compra],TB_Entradas[Produto],TB_ControleEstoque[[#This Row],[Produto]])</f>
        <v>275</v>
      </c>
      <c r="J12" s="10">
        <f>TB_ControleEstoque[[#This Row],[Valor de Venda]]-TB_ControleEstoque[[#This Row],[Custo Total]]</f>
        <v>1317.5</v>
      </c>
      <c r="L12" s="71"/>
      <c r="M12" s="71"/>
      <c r="N12" s="71"/>
      <c r="O12" s="71"/>
      <c r="P12" s="71"/>
    </row>
    <row r="13" spans="2:17" x14ac:dyDescent="0.3">
      <c r="B13" t="s">
        <v>28</v>
      </c>
      <c r="C13" s="2">
        <f>IFERROR(SUMIF(TB_Entradas[Produto],TB_ControleEstoque[[#This Row],[Produto]],TB_Entradas[Quantidade Comprada]),0)</f>
        <v>50</v>
      </c>
      <c r="D13" s="2">
        <f>IFERROR(SUMIF(TB_Saídas[Produto],TB_ControleEstoque[[#This Row],[Produto]],TB_Saídas[Quantidade Vendida]),0)</f>
        <v>30</v>
      </c>
      <c r="E13" s="2">
        <f>TB_ControleEstoque[[#This Row],[Entradas]]-TB_ControleEstoque[[#This Row],[Saídas ]]</f>
        <v>20</v>
      </c>
      <c r="F13" s="2">
        <f>_xlfn.XLOOKUP(TB_ControleEstoque[[#This Row],[Produto]],TB_Produtos[Produto],TB_Produtos[Estoque Mínimo],"Erro",0,1)</f>
        <v>2</v>
      </c>
      <c r="G13" t="str" cm="1">
        <f t="array" ref="G13">_xlfn.IFS(TB_ControleEstoque[[#This Row],[Saldo em Estoque]]&gt;TB_ControleEstoque[[#This Row],[Estoque Mínimo]],"Estoque OK",TB_ControleEstoque[[#This Row],[Saldo em Estoque]]=0,"Estoque Zerado",1,"Repor Estoque")</f>
        <v>Estoque OK</v>
      </c>
      <c r="H13" s="12">
        <f>SUMIFS(TB_Saídas[Valor de Venda],TB_Saídas[Produto],TB_ControleEstoque[[#This Row],[Produto]])</f>
        <v>450</v>
      </c>
      <c r="I13" s="10">
        <f>SUMIFS(TB_Entradas[Valor da Compra],TB_Entradas[Produto],TB_ControleEstoque[[#This Row],[Produto]])</f>
        <v>225</v>
      </c>
      <c r="J13" s="10">
        <f>TB_ControleEstoque[[#This Row],[Valor de Venda]]-TB_ControleEstoque[[#This Row],[Custo Total]]</f>
        <v>225</v>
      </c>
    </row>
    <row r="14" spans="2:17" x14ac:dyDescent="0.3">
      <c r="B14" t="s">
        <v>23</v>
      </c>
      <c r="C14" s="2">
        <f>IFERROR(SUMIF(TB_Entradas[Produto],TB_ControleEstoque[[#This Row],[Produto]],TB_Entradas[Quantidade Comprada]),0)</f>
        <v>100</v>
      </c>
      <c r="D14" s="2">
        <f>IFERROR(SUMIF(TB_Saídas[Produto],TB_ControleEstoque[[#This Row],[Produto]],TB_Saídas[Quantidade Vendida]),0)</f>
        <v>90</v>
      </c>
      <c r="E14" s="2">
        <f>TB_ControleEstoque[[#This Row],[Entradas]]-TB_ControleEstoque[[#This Row],[Saídas ]]</f>
        <v>10</v>
      </c>
      <c r="F14" s="2">
        <f>_xlfn.XLOOKUP(TB_ControleEstoque[[#This Row],[Produto]],TB_Produtos[Produto],TB_Produtos[Estoque Mínimo],"Erro",0,1)</f>
        <v>10</v>
      </c>
      <c r="G14" t="str" cm="1">
        <f t="array" ref="G14">_xlfn.IFS(TB_ControleEstoque[[#This Row],[Saldo em Estoque]]&gt;TB_ControleEstoque[[#This Row],[Estoque Mínimo]],"Estoque OK",TB_ControleEstoque[[#This Row],[Saldo em Estoque]]=0,"Estoque Zerado",1,"Repor Estoque")</f>
        <v>Repor Estoque</v>
      </c>
      <c r="H14" s="12">
        <f>SUMIFS(TB_Saídas[Valor de Venda],TB_Saídas[Produto],TB_ControleEstoque[[#This Row],[Produto]])</f>
        <v>450</v>
      </c>
      <c r="I14" s="10">
        <f>SUMIFS(TB_Entradas[Valor da Compra],TB_Entradas[Produto],TB_ControleEstoque[[#This Row],[Produto]])</f>
        <v>100</v>
      </c>
      <c r="J14" s="10">
        <f>TB_ControleEstoque[[#This Row],[Valor de Venda]]-TB_ControleEstoque[[#This Row],[Custo Total]]</f>
        <v>350</v>
      </c>
    </row>
    <row r="15" spans="2:17" x14ac:dyDescent="0.3">
      <c r="B15" t="s">
        <v>27</v>
      </c>
      <c r="C15" s="2">
        <f>IFERROR(SUMIF(TB_Entradas[Produto],TB_ControleEstoque[[#This Row],[Produto]],TB_Entradas[Quantidade Comprada]),0)</f>
        <v>60</v>
      </c>
      <c r="D15" s="2">
        <f>IFERROR(SUMIF(TB_Saídas[Produto],TB_ControleEstoque[[#This Row],[Produto]],TB_Saídas[Quantidade Vendida]),0)</f>
        <v>50</v>
      </c>
      <c r="E15" s="2">
        <f>TB_ControleEstoque[[#This Row],[Entradas]]-TB_ControleEstoque[[#This Row],[Saídas ]]</f>
        <v>10</v>
      </c>
      <c r="F15" s="2">
        <f>_xlfn.XLOOKUP(TB_ControleEstoque[[#This Row],[Produto]],TB_Produtos[Produto],TB_Produtos[Estoque Mínimo],"Erro",0,1)</f>
        <v>2</v>
      </c>
      <c r="G15" t="str" cm="1">
        <f t="array" ref="G15">_xlfn.IFS(TB_ControleEstoque[[#This Row],[Saldo em Estoque]]&gt;TB_ControleEstoque[[#This Row],[Estoque Mínimo]],"Estoque OK",TB_ControleEstoque[[#This Row],[Saldo em Estoque]]=0,"Estoque Zerado",1,"Repor Estoque")</f>
        <v>Estoque OK</v>
      </c>
      <c r="H15" s="12">
        <f>SUMIFS(TB_Saídas[Valor de Venda],TB_Saídas[Produto],TB_ControleEstoque[[#This Row],[Produto]])</f>
        <v>750</v>
      </c>
      <c r="I15" s="10">
        <f>SUMIFS(TB_Entradas[Valor da Compra],TB_Entradas[Produto],TB_ControleEstoque[[#This Row],[Produto]])</f>
        <v>480</v>
      </c>
      <c r="J15" s="10">
        <f>TB_ControleEstoque[[#This Row],[Valor de Venda]]-TB_ControleEstoque[[#This Row],[Custo Total]]</f>
        <v>270</v>
      </c>
    </row>
    <row r="18" spans="10:10" x14ac:dyDescent="0.3">
      <c r="J18" s="13"/>
    </row>
  </sheetData>
  <mergeCells count="3">
    <mergeCell ref="N7:P7"/>
    <mergeCell ref="N9:N10"/>
    <mergeCell ref="P9:P10"/>
  </mergeCells>
  <conditionalFormatting sqref="B6:J15">
    <cfRule type="expression" dxfId="1" priority="1">
      <formula>$G6="Estoque Zerado"</formula>
    </cfRule>
    <cfRule type="expression" dxfId="0" priority="2">
      <formula>$G6="Repor Estoque"</formula>
    </cfRule>
  </conditionalFormatting>
  <dataValidations count="1">
    <dataValidation type="list" allowBlank="1" showInputMessage="1" showErrorMessage="1" sqref="B6:B15" xr:uid="{8AC61758-FD11-40E3-B22B-102EEFB58504}">
      <formula1>Lista_Produtos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6BB8-FBDA-4261-94B1-9C28905DFD45}">
  <dimension ref="B1:J16"/>
  <sheetViews>
    <sheetView showGridLines="0" workbookViewId="0">
      <selection activeCell="J10" sqref="J10"/>
    </sheetView>
  </sheetViews>
  <sheetFormatPr defaultColWidth="9.109375" defaultRowHeight="14.4" x14ac:dyDescent="0.3"/>
  <cols>
    <col min="1" max="1" width="5.109375" customWidth="1"/>
    <col min="2" max="2" width="2.44140625" customWidth="1"/>
    <col min="3" max="3" width="1.6640625" customWidth="1"/>
    <col min="4" max="4" width="21.88671875" customWidth="1"/>
    <col min="5" max="5" width="0.88671875" customWidth="1"/>
    <col min="6" max="6" width="25.109375" bestFit="1" customWidth="1"/>
    <col min="7" max="7" width="3.33203125" customWidth="1"/>
  </cols>
  <sheetData>
    <row r="1" spans="2:10" s="29" customFormat="1" ht="60" customHeight="1" x14ac:dyDescent="0.3">
      <c r="G1" s="37" t="s">
        <v>68</v>
      </c>
    </row>
    <row r="2" spans="2:10" s="32" customFormat="1" ht="6" customHeight="1" x14ac:dyDescent="0.3">
      <c r="F2" s="33"/>
    </row>
    <row r="3" spans="2:10" x14ac:dyDescent="0.3">
      <c r="C3" s="5"/>
      <c r="F3" s="5"/>
    </row>
    <row r="4" spans="2:10" ht="9.75" customHeight="1" x14ac:dyDescent="0.3">
      <c r="C4" s="48"/>
      <c r="D4" s="49"/>
      <c r="E4" s="49"/>
      <c r="F4" s="49"/>
      <c r="G4" s="48"/>
    </row>
    <row r="5" spans="2:10" ht="27.75" customHeight="1" x14ac:dyDescent="0.4">
      <c r="B5" s="59"/>
      <c r="C5" s="48"/>
      <c r="D5" s="50" t="s">
        <v>61</v>
      </c>
      <c r="E5" s="51"/>
      <c r="F5" s="50" t="s">
        <v>1</v>
      </c>
      <c r="G5" s="48"/>
    </row>
    <row r="6" spans="2:10" s="6" customFormat="1" ht="27.75" customHeight="1" thickBot="1" x14ac:dyDescent="0.4">
      <c r="B6" s="59"/>
      <c r="C6" s="48"/>
      <c r="D6" s="43" t="s">
        <v>69</v>
      </c>
      <c r="E6" s="57"/>
      <c r="F6" s="44" t="str">
        <f>"=Café"</f>
        <v>=Café</v>
      </c>
      <c r="G6" s="48"/>
      <c r="I6" s="8"/>
      <c r="J6" s="9"/>
    </row>
    <row r="7" spans="2:10" s="6" customFormat="1" ht="15" customHeight="1" x14ac:dyDescent="0.35">
      <c r="B7" s="59"/>
      <c r="C7" s="48"/>
      <c r="D7" s="53"/>
      <c r="E7" s="54"/>
      <c r="F7" s="53"/>
      <c r="G7" s="48"/>
    </row>
    <row r="8" spans="2:10" ht="27.75" customHeight="1" x14ac:dyDescent="0.3">
      <c r="B8" s="59"/>
      <c r="C8" s="52"/>
      <c r="D8" s="55" t="s">
        <v>66</v>
      </c>
      <c r="E8" s="56"/>
      <c r="F8" s="45">
        <f>DSUM(TB_Saídas[#All],Consulta!D8,Consulta!D5:F6)</f>
        <v>365</v>
      </c>
      <c r="G8" s="52" t="s">
        <v>70</v>
      </c>
    </row>
    <row r="9" spans="2:10" ht="15" customHeight="1" x14ac:dyDescent="0.3">
      <c r="B9" s="59"/>
      <c r="C9" s="52"/>
      <c r="D9" s="56"/>
      <c r="E9" s="56"/>
      <c r="F9" s="58"/>
      <c r="G9" s="52"/>
    </row>
    <row r="10" spans="2:10" ht="27.75" customHeight="1" x14ac:dyDescent="0.3">
      <c r="B10" s="59"/>
      <c r="C10" s="52"/>
      <c r="D10" s="55" t="s">
        <v>71</v>
      </c>
      <c r="E10" s="56"/>
      <c r="F10" s="45">
        <f>DSUM(TB_Entradas[#All],"Quantidade Comprada",Consulta!D5:F6)-F8</f>
        <v>160</v>
      </c>
      <c r="G10" s="52"/>
    </row>
    <row r="11" spans="2:10" ht="15" customHeight="1" x14ac:dyDescent="0.3">
      <c r="B11" s="59"/>
      <c r="C11" s="52"/>
      <c r="D11" s="56"/>
      <c r="E11" s="56"/>
      <c r="F11" s="56"/>
      <c r="G11" s="52"/>
    </row>
    <row r="12" spans="2:10" ht="27.75" customHeight="1" x14ac:dyDescent="0.3">
      <c r="B12" s="59"/>
      <c r="C12" s="52"/>
      <c r="D12" s="55" t="s">
        <v>64</v>
      </c>
      <c r="E12" s="56"/>
      <c r="F12" s="46">
        <f>DSUM(TB_Entradas[#All],Consulta!D12,Consulta!D5:F6)</f>
        <v>1050</v>
      </c>
      <c r="G12" s="52"/>
    </row>
    <row r="13" spans="2:10" ht="15" customHeight="1" x14ac:dyDescent="0.3">
      <c r="B13" s="59"/>
      <c r="C13" s="52"/>
      <c r="D13" s="56"/>
      <c r="E13" s="56"/>
      <c r="F13" s="58"/>
      <c r="G13" s="52"/>
    </row>
    <row r="14" spans="2:10" ht="27.75" customHeight="1" x14ac:dyDescent="0.3">
      <c r="B14" s="59"/>
      <c r="C14" s="52"/>
      <c r="D14" s="55" t="s">
        <v>67</v>
      </c>
      <c r="E14" s="56"/>
      <c r="F14" s="46">
        <f>DSUM(TB_Saídas[#All],Consulta!D14,Consulta!D5:F6)</f>
        <v>2190</v>
      </c>
      <c r="G14" s="52"/>
    </row>
    <row r="15" spans="2:10" ht="21.75" customHeight="1" x14ac:dyDescent="0.3">
      <c r="B15" s="59"/>
      <c r="C15" s="52"/>
      <c r="D15" s="52"/>
      <c r="E15" s="52"/>
      <c r="F15" s="52"/>
      <c r="G15" s="52"/>
    </row>
    <row r="16" spans="2:10" ht="12" customHeight="1" x14ac:dyDescent="0.3">
      <c r="B16" s="59"/>
      <c r="C16" s="59"/>
      <c r="D16" s="59"/>
      <c r="E16" s="59"/>
      <c r="F16" s="59"/>
      <c r="G16" s="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39B9-606D-4025-9A41-1FF8DB47ECE5}">
  <dimension ref="B1:AU26"/>
  <sheetViews>
    <sheetView showGridLines="0" zoomScale="110" zoomScaleNormal="110" workbookViewId="0">
      <selection activeCell="J10" sqref="J10"/>
    </sheetView>
  </sheetViews>
  <sheetFormatPr defaultColWidth="2.44140625" defaultRowHeight="10.5" customHeight="1" x14ac:dyDescent="0.3"/>
  <sheetData>
    <row r="1" spans="2:47" s="29" customFormat="1" ht="60" customHeight="1" x14ac:dyDescent="0.3">
      <c r="AD1" s="37" t="s">
        <v>80</v>
      </c>
    </row>
    <row r="2" spans="2:47" s="32" customFormat="1" ht="6" customHeight="1" x14ac:dyDescent="0.3">
      <c r="F2" s="33"/>
    </row>
    <row r="3" spans="2:47" ht="6" customHeight="1" x14ac:dyDescent="0.3"/>
    <row r="4" spans="2:47" ht="4.5" customHeight="1" thickBot="1" x14ac:dyDescent="0.35"/>
    <row r="5" spans="2:47" ht="10.5" customHeight="1" x14ac:dyDescent="0.3">
      <c r="C5" s="269" t="s">
        <v>81</v>
      </c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1"/>
      <c r="AB5" s="269" t="s">
        <v>82</v>
      </c>
      <c r="AC5" s="270"/>
      <c r="AD5" s="270"/>
      <c r="AE5" s="270"/>
      <c r="AF5" s="270"/>
      <c r="AG5" s="270"/>
      <c r="AH5" s="270"/>
      <c r="AI5" s="270"/>
      <c r="AJ5" s="270"/>
      <c r="AK5" s="270"/>
      <c r="AL5" s="270"/>
      <c r="AM5" s="270"/>
      <c r="AN5" s="270"/>
      <c r="AO5" s="270"/>
      <c r="AP5" s="270"/>
      <c r="AQ5" s="270"/>
      <c r="AR5" s="270"/>
      <c r="AS5" s="270"/>
      <c r="AT5" s="270"/>
      <c r="AU5" s="271"/>
    </row>
    <row r="6" spans="2:47" ht="10.5" customHeight="1" x14ac:dyDescent="0.3">
      <c r="B6" s="71"/>
      <c r="C6" s="272"/>
      <c r="D6" s="273"/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4"/>
      <c r="AA6" s="71"/>
      <c r="AB6" s="272"/>
      <c r="AC6" s="273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4"/>
    </row>
    <row r="7" spans="2:47" ht="10.5" customHeight="1" x14ac:dyDescent="0.3">
      <c r="B7" s="71"/>
      <c r="C7" s="6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2"/>
      <c r="AA7" s="71"/>
      <c r="AB7" s="60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275" t="s">
        <v>1</v>
      </c>
      <c r="AN7" s="275"/>
      <c r="AO7" s="275"/>
      <c r="AP7" s="275"/>
      <c r="AQ7" s="275"/>
      <c r="AR7" s="275"/>
      <c r="AS7" s="275"/>
      <c r="AT7" s="275"/>
      <c r="AU7" s="62"/>
    </row>
    <row r="8" spans="2:47" ht="10.5" customHeight="1" x14ac:dyDescent="0.3">
      <c r="B8" s="71"/>
      <c r="C8" s="63"/>
      <c r="D8" s="239" t="s">
        <v>83</v>
      </c>
      <c r="E8" s="239"/>
      <c r="F8" s="239"/>
      <c r="G8" s="239"/>
      <c r="H8" s="239"/>
      <c r="I8" s="239"/>
      <c r="J8" s="239"/>
      <c r="K8" s="239"/>
      <c r="L8" s="239"/>
      <c r="M8" s="239"/>
      <c r="N8" s="240">
        <f>COUNTA(_xlfn.UNIQUE(TB_Saídas[Produto]))</f>
        <v>10</v>
      </c>
      <c r="O8" s="240"/>
      <c r="P8" s="240"/>
      <c r="Q8" s="240"/>
      <c r="R8" s="240"/>
      <c r="S8" s="240"/>
      <c r="T8" s="240"/>
      <c r="U8" s="240"/>
      <c r="V8" s="68"/>
      <c r="AA8" s="71"/>
      <c r="AB8" s="63"/>
      <c r="AC8" s="243" t="s">
        <v>84</v>
      </c>
      <c r="AD8" s="243"/>
      <c r="AE8" s="243"/>
      <c r="AF8" s="243"/>
      <c r="AG8" s="243"/>
      <c r="AH8" s="243"/>
      <c r="AI8" s="243"/>
      <c r="AJ8" s="243"/>
      <c r="AK8" s="243"/>
      <c r="AL8" s="244"/>
      <c r="AM8" s="257" t="s">
        <v>6</v>
      </c>
      <c r="AN8" s="258"/>
      <c r="AO8" s="258"/>
      <c r="AP8" s="258"/>
      <c r="AQ8" s="258"/>
      <c r="AR8" s="258"/>
      <c r="AS8" s="258"/>
      <c r="AT8" s="259"/>
      <c r="AU8" s="68"/>
    </row>
    <row r="9" spans="2:47" ht="10.5" customHeight="1" x14ac:dyDescent="0.3">
      <c r="B9" s="71"/>
      <c r="C9" s="63"/>
      <c r="D9" s="239"/>
      <c r="E9" s="239"/>
      <c r="F9" s="239"/>
      <c r="G9" s="239"/>
      <c r="H9" s="239"/>
      <c r="I9" s="239"/>
      <c r="J9" s="239"/>
      <c r="K9" s="239"/>
      <c r="L9" s="239"/>
      <c r="M9" s="239"/>
      <c r="N9" s="240"/>
      <c r="O9" s="240"/>
      <c r="P9" s="240"/>
      <c r="Q9" s="240"/>
      <c r="R9" s="240"/>
      <c r="S9" s="240"/>
      <c r="T9" s="240"/>
      <c r="U9" s="240"/>
      <c r="V9" s="68"/>
      <c r="AA9" s="71"/>
      <c r="AB9" s="63"/>
      <c r="AC9" s="243"/>
      <c r="AD9" s="243"/>
      <c r="AE9" s="243"/>
      <c r="AF9" s="243"/>
      <c r="AG9" s="243"/>
      <c r="AH9" s="243"/>
      <c r="AI9" s="243"/>
      <c r="AJ9" s="243"/>
      <c r="AK9" s="243"/>
      <c r="AL9" s="244"/>
      <c r="AM9" s="260"/>
      <c r="AN9" s="261"/>
      <c r="AO9" s="261"/>
      <c r="AP9" s="261"/>
      <c r="AQ9" s="261"/>
      <c r="AR9" s="261"/>
      <c r="AS9" s="261"/>
      <c r="AT9" s="262"/>
      <c r="AU9" s="68"/>
    </row>
    <row r="10" spans="2:47" ht="10.5" customHeight="1" x14ac:dyDescent="0.35">
      <c r="B10" s="71"/>
      <c r="C10" s="6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7"/>
      <c r="O10" s="67"/>
      <c r="P10" s="67"/>
      <c r="Q10" s="67"/>
      <c r="R10" s="67"/>
      <c r="S10" s="67"/>
      <c r="T10" s="67"/>
      <c r="U10" s="67"/>
      <c r="V10" s="68"/>
      <c r="AA10" s="71"/>
      <c r="AB10" s="63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68"/>
    </row>
    <row r="11" spans="2:47" ht="10.5" customHeight="1" x14ac:dyDescent="0.3">
      <c r="B11" s="71"/>
      <c r="C11" s="63"/>
      <c r="D11" s="239" t="s">
        <v>85</v>
      </c>
      <c r="E11" s="239"/>
      <c r="F11" s="239"/>
      <c r="G11" s="239"/>
      <c r="H11" s="239"/>
      <c r="I11" s="239"/>
      <c r="J11" s="239"/>
      <c r="K11" s="239"/>
      <c r="L11" s="239"/>
      <c r="M11" s="239"/>
      <c r="N11" s="240">
        <f>SUM(TB_ControleEstoque[Saldo em Estoque])</f>
        <v>1670</v>
      </c>
      <c r="O11" s="240"/>
      <c r="P11" s="240"/>
      <c r="Q11" s="240"/>
      <c r="R11" s="240"/>
      <c r="S11" s="240"/>
      <c r="T11" s="240"/>
      <c r="U11" s="240"/>
      <c r="V11" s="68"/>
      <c r="AA11" s="71"/>
      <c r="AB11" s="63"/>
      <c r="AC11" s="243" t="s">
        <v>85</v>
      </c>
      <c r="AD11" s="243"/>
      <c r="AE11" s="243"/>
      <c r="AF11" s="243"/>
      <c r="AG11" s="243"/>
      <c r="AH11" s="243"/>
      <c r="AI11" s="243"/>
      <c r="AJ11" s="243"/>
      <c r="AK11" s="243"/>
      <c r="AL11" s="244"/>
      <c r="AM11" s="263">
        <f>DSUM(TB_ControleEstoque[#All],TB_ControleEstoque[[#Headers],[Saldo em Estoque]],CriteriosConsultaProduto)</f>
        <v>690</v>
      </c>
      <c r="AN11" s="246"/>
      <c r="AO11" s="246"/>
      <c r="AP11" s="246"/>
      <c r="AQ11" s="246"/>
      <c r="AR11" s="246"/>
      <c r="AS11" s="246"/>
      <c r="AT11" s="247"/>
      <c r="AU11" s="68"/>
    </row>
    <row r="12" spans="2:47" ht="10.5" customHeight="1" x14ac:dyDescent="0.3">
      <c r="B12" s="71"/>
      <c r="C12" s="63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40"/>
      <c r="O12" s="240"/>
      <c r="P12" s="240"/>
      <c r="Q12" s="240"/>
      <c r="R12" s="240"/>
      <c r="S12" s="240"/>
      <c r="T12" s="240"/>
      <c r="U12" s="240"/>
      <c r="V12" s="68"/>
      <c r="AA12" s="71"/>
      <c r="AB12" s="6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4"/>
      <c r="AM12" s="248"/>
      <c r="AN12" s="249"/>
      <c r="AO12" s="249"/>
      <c r="AP12" s="249"/>
      <c r="AQ12" s="249"/>
      <c r="AR12" s="249"/>
      <c r="AS12" s="249"/>
      <c r="AT12" s="250"/>
      <c r="AU12" s="68"/>
    </row>
    <row r="13" spans="2:47" ht="10.5" customHeight="1" x14ac:dyDescent="0.35">
      <c r="B13" s="71"/>
      <c r="C13" s="63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9"/>
      <c r="O13" s="69"/>
      <c r="P13" s="69"/>
      <c r="Q13" s="69"/>
      <c r="R13" s="69"/>
      <c r="S13" s="69"/>
      <c r="T13" s="69"/>
      <c r="U13" s="69"/>
      <c r="V13" s="68"/>
      <c r="AA13" s="71"/>
      <c r="AB13" s="63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68"/>
    </row>
    <row r="14" spans="2:47" ht="10.5" customHeight="1" x14ac:dyDescent="0.3">
      <c r="B14" s="71"/>
      <c r="C14" s="63"/>
      <c r="D14" s="239" t="s">
        <v>86</v>
      </c>
      <c r="E14" s="239"/>
      <c r="F14" s="239"/>
      <c r="G14" s="239"/>
      <c r="H14" s="239"/>
      <c r="I14" s="239"/>
      <c r="J14" s="239"/>
      <c r="K14" s="239"/>
      <c r="L14" s="239"/>
      <c r="M14" s="239"/>
      <c r="N14" s="241">
        <f>SUM(TB_Saídas[Valor de Venda])</f>
        <v>19042.5</v>
      </c>
      <c r="O14" s="241"/>
      <c r="P14" s="241"/>
      <c r="Q14" s="241"/>
      <c r="R14" s="241"/>
      <c r="S14" s="241"/>
      <c r="T14" s="241"/>
      <c r="U14" s="241"/>
      <c r="V14" s="68"/>
      <c r="AA14" s="71"/>
      <c r="AB14" s="63"/>
      <c r="AC14" s="243" t="s">
        <v>86</v>
      </c>
      <c r="AD14" s="243"/>
      <c r="AE14" s="243"/>
      <c r="AF14" s="243"/>
      <c r="AG14" s="243"/>
      <c r="AH14" s="243"/>
      <c r="AI14" s="243"/>
      <c r="AJ14" s="243"/>
      <c r="AK14" s="243"/>
      <c r="AL14" s="244"/>
      <c r="AM14" s="245">
        <f>DSUM(TB_Saídas[#All],TB_Saídas[[#Headers],[Valor de Venda]],CriteriosConsultaProduto)</f>
        <v>5670</v>
      </c>
      <c r="AN14" s="264"/>
      <c r="AO14" s="264"/>
      <c r="AP14" s="264"/>
      <c r="AQ14" s="264"/>
      <c r="AR14" s="264"/>
      <c r="AS14" s="264"/>
      <c r="AT14" s="265"/>
      <c r="AU14" s="68"/>
    </row>
    <row r="15" spans="2:47" ht="10.5" customHeight="1" x14ac:dyDescent="0.3">
      <c r="B15" s="71"/>
      <c r="C15" s="63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41"/>
      <c r="O15" s="241"/>
      <c r="P15" s="241"/>
      <c r="Q15" s="241"/>
      <c r="R15" s="241"/>
      <c r="S15" s="241"/>
      <c r="T15" s="241"/>
      <c r="U15" s="241"/>
      <c r="V15" s="68"/>
      <c r="AA15" s="71"/>
      <c r="AB15" s="6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4"/>
      <c r="AM15" s="266"/>
      <c r="AN15" s="267"/>
      <c r="AO15" s="267"/>
      <c r="AP15" s="267"/>
      <c r="AQ15" s="267"/>
      <c r="AR15" s="267"/>
      <c r="AS15" s="267"/>
      <c r="AT15" s="268"/>
      <c r="AU15" s="68"/>
    </row>
    <row r="16" spans="2:47" ht="10.5" customHeight="1" x14ac:dyDescent="0.35">
      <c r="B16" s="71"/>
      <c r="C16" s="63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9"/>
      <c r="O16" s="69"/>
      <c r="P16" s="69"/>
      <c r="Q16" s="69"/>
      <c r="R16" s="69"/>
      <c r="S16" s="69"/>
      <c r="T16" s="69"/>
      <c r="U16" s="69"/>
      <c r="V16" s="68"/>
      <c r="AA16" s="71"/>
      <c r="AB16" s="63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68"/>
    </row>
    <row r="17" spans="2:47" ht="10.5" customHeight="1" x14ac:dyDescent="0.3">
      <c r="B17" s="71"/>
      <c r="C17" s="63"/>
      <c r="D17" s="239" t="s">
        <v>87</v>
      </c>
      <c r="E17" s="239"/>
      <c r="F17" s="239"/>
      <c r="G17" s="239"/>
      <c r="H17" s="239"/>
      <c r="I17" s="239"/>
      <c r="J17" s="239"/>
      <c r="K17" s="239"/>
      <c r="L17" s="239"/>
      <c r="M17" s="239"/>
      <c r="N17" s="241">
        <f>SUM(TB_Entradas[Valor da Compra])</f>
        <v>5530</v>
      </c>
      <c r="O17" s="241"/>
      <c r="P17" s="241"/>
      <c r="Q17" s="241"/>
      <c r="R17" s="241"/>
      <c r="S17" s="241"/>
      <c r="T17" s="241"/>
      <c r="U17" s="241"/>
      <c r="V17" s="68"/>
      <c r="AA17" s="71"/>
      <c r="AB17" s="63"/>
      <c r="AC17" s="243" t="s">
        <v>87</v>
      </c>
      <c r="AD17" s="243"/>
      <c r="AE17" s="243"/>
      <c r="AF17" s="243"/>
      <c r="AG17" s="243"/>
      <c r="AH17" s="243"/>
      <c r="AI17" s="243"/>
      <c r="AJ17" s="243"/>
      <c r="AK17" s="243"/>
      <c r="AL17" s="244"/>
      <c r="AM17" s="245">
        <f>DSUM(TB_Entradas[#All],TB_Entradas[[#Headers],[Valor da Compra]],CriteriosConsultaProduto)</f>
        <v>3270</v>
      </c>
      <c r="AN17" s="264"/>
      <c r="AO17" s="264"/>
      <c r="AP17" s="264"/>
      <c r="AQ17" s="264"/>
      <c r="AR17" s="264"/>
      <c r="AS17" s="264"/>
      <c r="AT17" s="265"/>
      <c r="AU17" s="68"/>
    </row>
    <row r="18" spans="2:47" ht="10.5" customHeight="1" x14ac:dyDescent="0.3">
      <c r="B18" s="71"/>
      <c r="C18" s="63"/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41"/>
      <c r="O18" s="241"/>
      <c r="P18" s="241"/>
      <c r="Q18" s="241"/>
      <c r="R18" s="241"/>
      <c r="S18" s="241"/>
      <c r="T18" s="241"/>
      <c r="U18" s="241"/>
      <c r="V18" s="68"/>
      <c r="AA18" s="71"/>
      <c r="AB18" s="6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4"/>
      <c r="AM18" s="266"/>
      <c r="AN18" s="267"/>
      <c r="AO18" s="267"/>
      <c r="AP18" s="267"/>
      <c r="AQ18" s="267"/>
      <c r="AR18" s="267"/>
      <c r="AS18" s="267"/>
      <c r="AT18" s="268"/>
      <c r="AU18" s="68"/>
    </row>
    <row r="19" spans="2:47" ht="10.5" customHeight="1" x14ac:dyDescent="0.35">
      <c r="B19" s="71"/>
      <c r="C19" s="63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9"/>
      <c r="O19" s="69"/>
      <c r="P19" s="69"/>
      <c r="Q19" s="69"/>
      <c r="R19" s="69"/>
      <c r="S19" s="69"/>
      <c r="T19" s="69"/>
      <c r="U19" s="69"/>
      <c r="V19" s="68"/>
      <c r="AA19" s="71"/>
      <c r="AB19" s="63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68"/>
    </row>
    <row r="20" spans="2:47" ht="10.5" customHeight="1" x14ac:dyDescent="0.3">
      <c r="B20" s="71"/>
      <c r="C20" s="63"/>
      <c r="D20" s="239" t="s">
        <v>88</v>
      </c>
      <c r="E20" s="239"/>
      <c r="F20" s="239"/>
      <c r="G20" s="239"/>
      <c r="H20" s="239"/>
      <c r="I20" s="239"/>
      <c r="J20" s="239"/>
      <c r="K20" s="239"/>
      <c r="L20" s="239"/>
      <c r="M20" s="239"/>
      <c r="N20" s="241">
        <f>N14-N17</f>
        <v>13512.5</v>
      </c>
      <c r="O20" s="241"/>
      <c r="P20" s="241"/>
      <c r="Q20" s="241"/>
      <c r="R20" s="241"/>
      <c r="S20" s="241"/>
      <c r="T20" s="241"/>
      <c r="U20" s="241"/>
      <c r="V20" s="68"/>
      <c r="AA20" s="71"/>
      <c r="AB20" s="63"/>
      <c r="AC20" s="243" t="s">
        <v>88</v>
      </c>
      <c r="AD20" s="243"/>
      <c r="AE20" s="243"/>
      <c r="AF20" s="243"/>
      <c r="AG20" s="243"/>
      <c r="AH20" s="243"/>
      <c r="AI20" s="243"/>
      <c r="AJ20" s="243"/>
      <c r="AK20" s="243"/>
      <c r="AL20" s="244"/>
      <c r="AM20" s="245">
        <f>AM14-AM17</f>
        <v>2400</v>
      </c>
      <c r="AN20" s="246"/>
      <c r="AO20" s="246"/>
      <c r="AP20" s="246"/>
      <c r="AQ20" s="246"/>
      <c r="AR20" s="246"/>
      <c r="AS20" s="246"/>
      <c r="AT20" s="247"/>
      <c r="AU20" s="68"/>
    </row>
    <row r="21" spans="2:47" ht="10.5" customHeight="1" x14ac:dyDescent="0.3">
      <c r="B21" s="71"/>
      <c r="C21" s="63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41"/>
      <c r="O21" s="241"/>
      <c r="P21" s="241"/>
      <c r="Q21" s="241"/>
      <c r="R21" s="241"/>
      <c r="S21" s="241"/>
      <c r="T21" s="241"/>
      <c r="U21" s="241"/>
      <c r="V21" s="68"/>
      <c r="AA21" s="71"/>
      <c r="AB21" s="6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4"/>
      <c r="AM21" s="248"/>
      <c r="AN21" s="249"/>
      <c r="AO21" s="249"/>
      <c r="AP21" s="249"/>
      <c r="AQ21" s="249"/>
      <c r="AR21" s="249"/>
      <c r="AS21" s="249"/>
      <c r="AT21" s="250"/>
      <c r="AU21" s="68"/>
    </row>
    <row r="22" spans="2:47" ht="10.5" customHeight="1" x14ac:dyDescent="0.35">
      <c r="B22" s="71"/>
      <c r="C22" s="63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9"/>
      <c r="O22" s="69"/>
      <c r="P22" s="69"/>
      <c r="Q22" s="69"/>
      <c r="R22" s="69"/>
      <c r="S22" s="69"/>
      <c r="T22" s="69"/>
      <c r="U22" s="69"/>
      <c r="V22" s="68"/>
      <c r="AA22" s="71"/>
      <c r="AB22" s="63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68"/>
    </row>
    <row r="23" spans="2:47" ht="10.5" customHeight="1" x14ac:dyDescent="0.3">
      <c r="B23" s="71"/>
      <c r="C23" s="63"/>
      <c r="D23" s="239" t="s">
        <v>89</v>
      </c>
      <c r="E23" s="239"/>
      <c r="F23" s="239"/>
      <c r="G23" s="239"/>
      <c r="H23" s="239"/>
      <c r="I23" s="239"/>
      <c r="J23" s="239"/>
      <c r="K23" s="239"/>
      <c r="L23" s="239"/>
      <c r="M23" s="239"/>
      <c r="N23" s="242">
        <f>N20/N17</f>
        <v>2.4434900542495481</v>
      </c>
      <c r="O23" s="242"/>
      <c r="P23" s="242"/>
      <c r="Q23" s="242"/>
      <c r="R23" s="242"/>
      <c r="S23" s="242"/>
      <c r="T23" s="242"/>
      <c r="U23" s="242"/>
      <c r="V23" s="68"/>
      <c r="AA23" s="71"/>
      <c r="AB23" s="63"/>
      <c r="AC23" s="243" t="s">
        <v>89</v>
      </c>
      <c r="AD23" s="243"/>
      <c r="AE23" s="243"/>
      <c r="AF23" s="243"/>
      <c r="AG23" s="243"/>
      <c r="AH23" s="243"/>
      <c r="AI23" s="243"/>
      <c r="AJ23" s="243"/>
      <c r="AK23" s="243"/>
      <c r="AL23" s="244"/>
      <c r="AM23" s="251">
        <f>AM20/AM17</f>
        <v>0.73394495412844041</v>
      </c>
      <c r="AN23" s="252"/>
      <c r="AO23" s="252"/>
      <c r="AP23" s="252"/>
      <c r="AQ23" s="252"/>
      <c r="AR23" s="252"/>
      <c r="AS23" s="252"/>
      <c r="AT23" s="253"/>
      <c r="AU23" s="68"/>
    </row>
    <row r="24" spans="2:47" ht="10.5" customHeight="1" x14ac:dyDescent="0.3">
      <c r="B24" s="71"/>
      <c r="C24" s="63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42"/>
      <c r="O24" s="242"/>
      <c r="P24" s="242"/>
      <c r="Q24" s="242"/>
      <c r="R24" s="242"/>
      <c r="S24" s="242"/>
      <c r="T24" s="242"/>
      <c r="U24" s="242"/>
      <c r="V24" s="68"/>
      <c r="AA24" s="71"/>
      <c r="AB24" s="6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4"/>
      <c r="AM24" s="254"/>
      <c r="AN24" s="255"/>
      <c r="AO24" s="255"/>
      <c r="AP24" s="255"/>
      <c r="AQ24" s="255"/>
      <c r="AR24" s="255"/>
      <c r="AS24" s="255"/>
      <c r="AT24" s="256"/>
      <c r="AU24" s="68"/>
    </row>
    <row r="25" spans="2:47" ht="10.5" customHeight="1" thickBot="1" x14ac:dyDescent="0.35">
      <c r="B25" s="71"/>
      <c r="C25" s="65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70"/>
      <c r="AA25" s="71"/>
      <c r="AB25" s="65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70"/>
    </row>
    <row r="26" spans="2:47" ht="10.5" customHeight="1" x14ac:dyDescent="0.3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</row>
  </sheetData>
  <sheetProtection selectLockedCells="1"/>
  <mergeCells count="27">
    <mergeCell ref="AB5:AU6"/>
    <mergeCell ref="C5:V6"/>
    <mergeCell ref="AM7:AT7"/>
    <mergeCell ref="AC17:AL18"/>
    <mergeCell ref="AM17:AT18"/>
    <mergeCell ref="D8:M9"/>
    <mergeCell ref="D11:M12"/>
    <mergeCell ref="D14:M15"/>
    <mergeCell ref="D17:M18"/>
    <mergeCell ref="AC20:AL21"/>
    <mergeCell ref="AM20:AT21"/>
    <mergeCell ref="AC23:AL24"/>
    <mergeCell ref="AM23:AT24"/>
    <mergeCell ref="AC8:AL9"/>
    <mergeCell ref="AM8:AT9"/>
    <mergeCell ref="AC11:AL12"/>
    <mergeCell ref="AM11:AT12"/>
    <mergeCell ref="AC14:AL15"/>
    <mergeCell ref="AM14:AT15"/>
    <mergeCell ref="D20:M21"/>
    <mergeCell ref="D23:M24"/>
    <mergeCell ref="N8:U9"/>
    <mergeCell ref="N11:U12"/>
    <mergeCell ref="N14:U15"/>
    <mergeCell ref="N17:U18"/>
    <mergeCell ref="N20:U21"/>
    <mergeCell ref="N23:U24"/>
  </mergeCells>
  <dataValidations count="1">
    <dataValidation type="list" allowBlank="1" showInputMessage="1" showErrorMessage="1" sqref="AM8:AT9" xr:uid="{BA2D04B6-D7BF-4ACA-AA8D-0DA4AB77DFCC}">
      <formula1>Lista_Produtos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Props1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2</vt:i4>
      </vt:variant>
    </vt:vector>
  </HeadingPairs>
  <TitlesOfParts>
    <vt:vector size="12" baseType="lpstr">
      <vt:lpstr>Dashboard</vt:lpstr>
      <vt:lpstr>Produtos</vt:lpstr>
      <vt:lpstr>Fornecedor</vt:lpstr>
      <vt:lpstr>Entradas</vt:lpstr>
      <vt:lpstr>Saídas</vt:lpstr>
      <vt:lpstr>Base de Cálculos</vt:lpstr>
      <vt:lpstr>Visão Produtos</vt:lpstr>
      <vt:lpstr>Controle de Estoque</vt:lpstr>
      <vt:lpstr>Consulta</vt:lpstr>
      <vt:lpstr>Quadro de Resumo</vt:lpstr>
      <vt:lpstr>CriteriosConsultaProduto</vt:lpstr>
      <vt:lpstr>Lista_Produtos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Jéssica Cristina</cp:lastModifiedBy>
  <cp:revision/>
  <dcterms:created xsi:type="dcterms:W3CDTF">2022-11-17T13:49:56Z</dcterms:created>
  <dcterms:modified xsi:type="dcterms:W3CDTF">2025-12-02T22:16:57Z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